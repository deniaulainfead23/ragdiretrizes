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052759cdc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4bb974f581f94abc"/>
    <x:sheet xmlns:r="http://schemas.openxmlformats.org/officeDocument/2006/relationships" name="DOCUMENTOS" sheetId="2" r:id="R9b34963f6f9a4a7b"/>
    <x:sheet xmlns:r="http://schemas.openxmlformats.org/officeDocument/2006/relationships" name="UNESCO_ECG" sheetId="3" r:id="Rf1047a36480842df"/>
    <x:sheet xmlns:r="http://schemas.openxmlformats.org/officeDocument/2006/relationships" name="BNCC_GERAL" sheetId="4" r:id="R6cfba7d2dbab49cc"/>
    <x:sheet xmlns:r="http://schemas.openxmlformats.org/officeDocument/2006/relationships" name="BNCC_COMPUTACAO" sheetId="5" r:id="Rfc88b298c6ca427b"/>
    <x:sheet xmlns:r="http://schemas.openxmlformats.org/officeDocument/2006/relationships" name="HABILIDADES_PAIS" sheetId="6" r:id="R78803486253c46e7"/>
    <x:sheet xmlns:r="http://schemas.openxmlformats.org/officeDocument/2006/relationships" name="MAPEAMENTOS" sheetId="7" r:id="Rb1b1a72698464ead"/>
    <x:sheet xmlns:r="http://schemas.openxmlformats.org/officeDocument/2006/relationships" name="MATRIZ_COBERTURA" sheetId="8" r:id="R6edb00c8390b4f2e"/>
    <x:sheet xmlns:r="http://schemas.openxmlformats.org/officeDocument/2006/relationships" name="DICIONARIO_DADOS" sheetId="9" r:id="R6c5476b80e5d45d8"/>
    <x:sheet xmlns:r="http://schemas.openxmlformats.org/officeDocument/2006/relationships" name="LISTAS" sheetId="10" r:id="R178e5e17d6c1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A6A6A6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8d2edd5cd4c9e" /><Relationship Type="http://schemas.openxmlformats.org/officeDocument/2006/relationships/theme" Target="/xl/theme/theme1.xml" Id="R463b642d01a84a7c" /><Relationship Type="http://schemas.openxmlformats.org/officeDocument/2006/relationships/sharedStrings" Target="/xl/sharedStrings.xml" Id="Rffa30d54bd9544d5" /><Relationship Type="http://schemas.openxmlformats.org/officeDocument/2006/relationships/worksheet" Target="/xl/worksheets/sheet1.xml" Id="R4bb974f581f94abc" /><Relationship Type="http://schemas.openxmlformats.org/officeDocument/2006/relationships/worksheet" Target="/xl/worksheets/sheet2.xml" Id="R9b34963f6f9a4a7b" /><Relationship Type="http://schemas.openxmlformats.org/officeDocument/2006/relationships/worksheet" Target="/xl/worksheets/sheet3.xml" Id="Rf1047a36480842df" /><Relationship Type="http://schemas.openxmlformats.org/officeDocument/2006/relationships/worksheet" Target="/xl/worksheets/sheet4.xml" Id="R6cfba7d2dbab49cc" /><Relationship Type="http://schemas.openxmlformats.org/officeDocument/2006/relationships/worksheet" Target="/xl/worksheets/sheet5.xml" Id="Rfc88b298c6ca427b" /><Relationship Type="http://schemas.openxmlformats.org/officeDocument/2006/relationships/worksheet" Target="/xl/worksheets/sheet6.xml" Id="R78803486253c46e7" /><Relationship Type="http://schemas.openxmlformats.org/officeDocument/2006/relationships/worksheet" Target="/xl/worksheets/sheet7.xml" Id="Rb1b1a72698464ead" /><Relationship Type="http://schemas.openxmlformats.org/officeDocument/2006/relationships/worksheet" Target="/xl/worksheets/sheet8.xml" Id="R6edb00c8390b4f2e" /><Relationship Type="http://schemas.openxmlformats.org/officeDocument/2006/relationships/worksheet" Target="/xl/worksheets/sheet9.xml" Id="R6c5476b80e5d45d8" /><Relationship Type="http://schemas.openxmlformats.org/officeDocument/2006/relationships/worksheet" Target="/xl/worksheets/sheet10.xml" Id="R178e5e17d6c1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4" customHeight="1">
      <x:c r="A1" s="3" t="str">
        <x:v>Dataset comparativo de habilidades curriculares</x:v>
      </x:c>
      <x:c r="B1" s="3"/>
      <x:c r="C1" s="3"/>
      <x:c r="D1" s="3"/>
      <x:c r="E1" s="3"/>
      <x:c r="F1" s="3"/>
      <x:c r="G1" s="3"/>
      <x:c r="H1" s="3"/>
    </x:row>
    <x:row r="3" ht="26" customHeight="1">
      <x:c r="A3" s="5" t="str">
        <x:v>Chile • Estônia • Marrocos • Suíça — comparados à UNESCO, BNCC Geral e BNCC Computação</x:v>
      </x:c>
      <x:c r="B3" s="5"/>
      <x:c r="C3" s="5"/>
      <x:c r="D3" s="5"/>
      <x:c r="E3" s="5"/>
      <x:c r="F3" s="5"/>
      <x:c r="G3" s="5"/>
      <x:c r="H3" s="5"/>
    </x:row>
    <x:row r="5" ht="30" customHeight="1">
      <x:c r="A5" s="9" t="str">
        <x:v>Campo</x:v>
      </x:c>
      <x:c r="B5" s="9" t="str">
        <x:v>Orientação</x:v>
      </x:c>
    </x:row>
    <x:row r="6" ht="46" customHeight="1">
      <x:c r="A6" s="11" t="str">
        <x:v>Finalidade</x:v>
      </x:c>
      <x:c r="B6" s="11" t="str">
        <x:v>Modelo relacional para registrar uma habilidade atômica por linha, preservar a evidência documental e criar múltiplas relações comparativas sem duplicar o texto-fonte.</x:v>
      </x:c>
    </x:row>
    <x:row r="7" ht="46" customHeight="1">
      <x:c r="A7" s="11" t="str">
        <x:v>O que já vem carregado</x:v>
      </x:c>
      <x:c r="B7" s="11" t="str">
        <x:v>Taxonomia UNESCO ECG (36 objetivos condensados), 10 Competências Gerais da BNCC, amostra estruturada da BNCC Computação e registros demonstrativos dos quatro países.</x:v>
      </x:c>
    </x:row>
    <x:row r="8" ht="46" customHeight="1">
      <x:c r="A8" s="11" t="str">
        <x:v>O que ainda exige coleta</x:v>
      </x:c>
      <x:c r="B8" s="11" t="str">
        <x:v>Extração integral, linha a linha, de todos os documentos nacionais/subnacionais. O campo status_carga distingue amostra, carga parcial e corpus validado.</x:v>
      </x:c>
    </x:row>
    <x:row r="9" ht="46" customHeight="1">
      <x:c r="A9" s="11" t="str">
        <x:v>Unidade de análise</x:v>
      </x:c>
      <x:c r="B9" s="11" t="str">
        <x:v>Uma habilidade observável. Se uma frase curricular contiver dois verbos/objetos independentes, desdobrar em duas linhas e manter o mesmo código local/documento.</x:v>
      </x:c>
    </x:row>
    <x:row r="10" ht="46" customHeight="1">
      <x:c r="A10" s="11" t="str">
        <x:v>Fluxo recomendado</x:v>
      </x:c>
      <x:c r="B10" s="11" t="str">
        <x:v>1) cadastrar documento; 2) extrair habilidade e página; 3) traduzir sem apagar o original; 4) codificar verbo/objeto/contexto; 5) mapear; 6) revisar por segunda pessoa; 7) congelar versão.</x:v>
      </x:c>
    </x:row>
    <x:row r="11" ht="46" customHeight="1">
      <x:c r="A11" s="11" t="str">
        <x:v>Escala de alinhamento</x:v>
      </x:c>
      <x:c r="B11" s="11" t="str">
        <x:v>1,00 exata; 0,75 equivalente; 0,50 parcial; 0,25 indireta; 0 ausente. A pontuação nunca substitui a justificativa e a evidência.</x:v>
      </x:c>
    </x:row>
    <x:row r="12" ht="46" customHeight="1">
      <x:c r="A12" s="11" t="str">
        <x:v>Cidadania global</x:v>
      </x:c>
      <x:c r="B12" s="11" t="str">
        <x:v>A UNESCO organiza a ECG em três domínios: cognitivo, socioemocional e comportamental, com nove tópicos e quatro faixas etárias.</x:v>
      </x:c>
    </x:row>
    <x:row r="13" ht="46" customHeight="1">
      <x:c r="A13" s="11" t="str">
        <x:v>Computação</x:v>
      </x:c>
      <x:c r="B13" s="11" t="str">
        <x:v>Usar os eixos Pensamento Computacional, Mundo Digital e Cultura Digital. Uma habilidade pode ter eixo primário e secundário.</x:v>
      </x:c>
    </x:row>
    <x:row r="14" ht="46" customHeight="1">
      <x:c r="A14" s="11" t="str">
        <x:v>Comparabilidade</x:v>
      </x:c>
      <x:c r="B14" s="11" t="str">
        <x:v>Registrar nível normativo, etapa, ano/faixa etária, disciplina/área e jurisdição. Na Suíça, manter a região linguística/cantão como dimensão explícita.</x:v>
      </x:c>
    </x:row>
    <x:row r="15" ht="46" customHeight="1">
      <x:c r="A15" s="11" t="str">
        <x:v>Direitos de uso</x:v>
      </x:c>
      <x:c r="B15" s="11" t="str">
        <x:v>Dados derivados podem ser usados academicamente com citação e trechos curtos. Não redistribua PDFs integrais quando a licença ou o aviso do portal não autorizar; guarde URL, página e paráfrase.</x:v>
      </x:c>
    </x:row>
    <x:row r="16" ht="46" customHeight="1">
      <x:c r="A16" s="11" t="str">
        <x:v>Atenção metodológica</x:v>
      </x:c>
      <x:c r="B16" s="11" t="str">
        <x:v>Ausência de mapeamento não significa ausência no currículo: pode indicar documento não carregado, tradução pendente ou baixa confiança. Filtre status_carga e status_revisao antes de comparar.</x:v>
      </x:c>
    </x:row>
    <x:row r="17" ht="46" customHeight="1">
      <x:c r="A17" s="12" t="str">
        <x:v>Versão do modelo</x:v>
      </x:c>
      <x:c r="B17" s="12" t="str">
        <x:v>v0.1 — estrutura demonstrativa para validação do protocolo de pesquisa.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4" hidden="0" customWidth="1"/>
    <x:col min="4" max="4" width="25" hidden="0" customWidth="1"/>
    <x:col min="5" max="5" width="9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28" hidden="0" customWidth="1"/>
    <x:col min="11" max="11" width="50" hidden="0" customWidth="1"/>
    <x:col min="12" max="12" width="14" hidden="0" customWidth="1"/>
    <x:col min="13" max="13" width="16" hidden="0" customWidth="1"/>
    <x:col min="14" max="14" width="55" hidden="0" customWidth="1"/>
  </x:cols>
  <x:sheetData>
    <x:row r="1" ht="30" customHeight="1">
      <x:c r="A1" s="15" t="str">
        <x:v>document_id</x:v>
      </x:c>
      <x:c r="B1" s="15" t="str">
        <x:v>pais_organismo</x:v>
      </x:c>
      <x:c r="C1" s="15" t="str">
        <x:v>titulo</x:v>
      </x:c>
      <x:c r="D1" s="15" t="str">
        <x:v>instituicao</x:v>
      </x:c>
      <x:c r="E1" s="15" t="str">
        <x:v>ano</x:v>
      </x:c>
      <x:c r="F1" s="15" t="str">
        <x:v>idioma</x:v>
      </x:c>
      <x:c r="G1" s="15" t="str">
        <x:v>etapa</x:v>
      </x:c>
      <x:c r="H1" s="15" t="str">
        <x:v>natureza</x:v>
      </x:c>
      <x:c r="I1" s="15" t="str">
        <x:v>jurisdicao</x:v>
      </x:c>
      <x:c r="J1" s="15" t="str">
        <x:v>licenca_uso</x:v>
      </x:c>
      <x:c r="K1" s="15" t="str">
        <x:v>url_oficial</x:v>
      </x:c>
      <x:c r="L1" s="15" t="str">
        <x:v>data_acesso</x:v>
      </x:c>
      <x:c r="M1" s="15" t="str">
        <x:v>status_carga</x:v>
      </x:c>
      <x:c r="N1" s="15" t="str">
        <x:v>notas</x:v>
      </x:c>
    </x:row>
    <x:row r="2" ht="52" customHeight="1">
      <x:c r="A2" s="16" t="str">
        <x:v>DOC-UNESCO-2015</x:v>
      </x:c>
      <x:c r="B2" s="16" t="str">
        <x:v>UNESCO</x:v>
      </x:c>
      <x:c r="C2" s="16" t="str">
        <x:v>Global Citizenship Education: Topics and Learning Objectives</x:v>
      </x:c>
      <x:c r="D2" s="16" t="str">
        <x:v>UNESCO</x:v>
      </x:c>
      <x:c r="E2" s="16" t="n">
        <x:v>2015</x:v>
      </x:c>
      <x:c r="F2" s="16" t="str">
        <x:v>inglês</x:v>
      </x:c>
      <x:c r="G2" s="16" t="str">
        <x:v>todas</x:v>
      </x:c>
      <x:c r="H2" s="16" t="str">
        <x:v>orientação internacional</x:v>
      </x:c>
      <x:c r="I2" s="16" t="str">
        <x:v>UNESCO</x:v>
      </x:c>
      <x:c r="J2" s="16" t="str">
        <x:v>aberto; CC BY-SA 3.0 IGO</x:v>
      </x:c>
      <x:c r="K2" s="16" t="str">
        <x:v>https://unesdoc.unesco.org/ark:/48223/pf0000232993</x:v>
      </x:c>
      <x:c r="L2" s="16" t="str">
        <x:v>2026-08-28</x:v>
      </x:c>
      <x:c r="M2" s="16" t="str">
        <x:v>verificado</x:v>
      </x:c>
      <x:c r="N2" s="16" t="str">
        <x:v>Referencial comparativo; usar objetivos por faixa etária.</x:v>
      </x:c>
    </x:row>
    <x:row r="3" ht="52" customHeight="1">
      <x:c r="A3" s="16" t="str">
        <x:v>DOC-BR-BNCC-2018</x:v>
      </x:c>
      <x:c r="B3" s="16" t="str">
        <x:v>Brasil</x:v>
      </x:c>
      <x:c r="C3" s="16" t="str">
        <x:v>Base Nacional Comum Curricular</x:v>
      </x:c>
      <x:c r="D3" s="16" t="str">
        <x:v>MEC</x:v>
      </x:c>
      <x:c r="E3" s="16" t="n">
        <x:v>2018</x:v>
      </x:c>
      <x:c r="F3" s="16" t="str">
        <x:v>português</x:v>
      </x:c>
      <x:c r="G3" s="16" t="str">
        <x:v>educação básica</x:v>
      </x:c>
      <x:c r="H3" s="16" t="str">
        <x:v>normativo</x:v>
      </x:c>
      <x:c r="I3" s="16" t="str">
        <x:v>nacional</x:v>
      </x:c>
      <x:c r="J3" s="16" t="str">
        <x:v>documento oficial</x:v>
      </x:c>
      <x:c r="K3" s="16" t="str">
        <x:v>https://basenacionalcomum.mec.gov.br/images/BNCC_EI_EF_110518_versaofinal_site.pdf</x:v>
      </x:c>
      <x:c r="L3" s="16" t="str">
        <x:v>2026-08-28</x:v>
      </x:c>
      <x:c r="M3" s="16" t="str">
        <x:v>verificado</x:v>
      </x:c>
      <x:c r="N3" s="16" t="str">
        <x:v>Fonte das Competências Gerais e habilidades por etapa.</x:v>
      </x:c>
    </x:row>
    <x:row r="4" ht="52" customHeight="1">
      <x:c r="A4" s="16" t="str">
        <x:v>DOC-BR-COMP-2022</x:v>
      </x:c>
      <x:c r="B4" s="16" t="str">
        <x:v>Brasil</x:v>
      </x:c>
      <x:c r="C4" s="16" t="str">
        <x:v>Computação na Educação Básica — Complemento à BNCC</x:v>
      </x:c>
      <x:c r="D4" s="16" t="str">
        <x:v>CNE/MEC</x:v>
      </x:c>
      <x:c r="E4" s="16" t="n">
        <x:v>2022</x:v>
      </x:c>
      <x:c r="F4" s="16" t="str">
        <x:v>português</x:v>
      </x:c>
      <x:c r="G4" s="16" t="str">
        <x:v>educação básica</x:v>
      </x:c>
      <x:c r="H4" s="16" t="str">
        <x:v>normativo</x:v>
      </x:c>
      <x:c r="I4" s="16" t="str">
        <x:v>nacional</x:v>
      </x:c>
      <x:c r="J4" s="16" t="str">
        <x:v>documento oficial</x:v>
      </x:c>
      <x:c r="K4" s="16" t="str">
        <x:v>https://portal.mec.gov.br/docman/fevereiro-2022-pdf/236791-anexo-ao-parecer-cneceb-n-2-2022-bncc-computacao/file</x:v>
      </x:c>
      <x:c r="L4" s="16" t="str">
        <x:v>2026-08-28</x:v>
      </x:c>
      <x:c r="M4" s="16" t="str">
        <x:v>verificado</x:v>
      </x:c>
      <x:c r="N4" s="16" t="str">
        <x:v>Anexo ao Parecer CNE/CEB nº 2/2022; Resolução CNE/CEB nº 1/2022.</x:v>
      </x:c>
    </x:row>
    <x:row r="5" ht="52" customHeight="1">
      <x:c r="A5" s="16" t="str">
        <x:v>DOC-CL-BASES-16</x:v>
      </x:c>
      <x:c r="B5" s="16" t="str">
        <x:v>Chile</x:v>
      </x:c>
      <x:c r="C5" s="16" t="str">
        <x:v>Bases Curriculares 1º a 6º básico</x:v>
      </x:c>
      <x:c r="D5" s="16" t="str">
        <x:v>Ministerio de Educación</x:v>
      </x:c>
      <x:c r="E5" s="16" t="n">
        <x:v>2018</x:v>
      </x:c>
      <x:c r="F5" s="16" t="str">
        <x:v>espanhol</x:v>
      </x:c>
      <x:c r="G5" s="16" t="str">
        <x:v>primário</x:v>
      </x:c>
      <x:c r="H5" s="16" t="str">
        <x:v>normativo</x:v>
      </x:c>
      <x:c r="I5" s="16" t="str">
        <x:v>nacional</x:v>
      </x:c>
      <x:c r="J5" s="16" t="str">
        <x:v>documento oficial</x:v>
      </x:c>
      <x:c r="K5" s="16" t="str">
        <x:v>https://www.curriculumnacional.cl/portal/Documentos-Curriculares/Bases-curriculares/</x:v>
      </x:c>
      <x:c r="L5" s="16" t="str">
        <x:v>2026-08-28</x:v>
      </x:c>
      <x:c r="M5" s="16" t="str">
        <x:v>a baixar</x:v>
      </x:c>
      <x:c r="N5" s="16" t="str">
        <x:v>Selecionar versão vigente e registrar edição.</x:v>
      </x:c>
    </x:row>
    <x:row r="6" ht="52" customHeight="1">
      <x:c r="A6" s="16" t="str">
        <x:v>DOC-CL-BASES-72</x:v>
      </x:c>
      <x:c r="B6" s="16" t="str">
        <x:v>Chile</x:v>
      </x:c>
      <x:c r="C6" s="16" t="str">
        <x:v>Bases Curriculares 7º básico a 2º medio</x:v>
      </x:c>
      <x:c r="D6" s="16" t="str">
        <x:v>Ministerio de Educación</x:v>
      </x:c>
      <x:c r="E6" s="16" t="n">
        <x:v>2015</x:v>
      </x:c>
      <x:c r="F6" s="16" t="str">
        <x:v>espanhol</x:v>
      </x:c>
      <x:c r="G6" s="16" t="str">
        <x:v>secundário inferior</x:v>
      </x:c>
      <x:c r="H6" s="16" t="str">
        <x:v>normativo</x:v>
      </x:c>
      <x:c r="I6" s="16" t="str">
        <x:v>nacional</x:v>
      </x:c>
      <x:c r="J6" s="16" t="str">
        <x:v>documento oficial</x:v>
      </x:c>
      <x:c r="K6" s="16" t="str">
        <x:v>https://www.curriculumnacional.cl/portal/Documentos-Curriculares/Bases-curriculares/</x:v>
      </x:c>
      <x:c r="L6" s="16" t="str">
        <x:v>2026-08-28</x:v>
      </x:c>
      <x:c r="M6" s="16" t="str">
        <x:v>a baixar</x:v>
      </x:c>
      <x:c r="N6" s="16" t="str">
        <x:v>Inclui Tecnología e objetivos transversais.</x:v>
      </x:c>
    </x:row>
    <x:row r="7" ht="52" customHeight="1">
      <x:c r="A7" s="16" t="str">
        <x:v>DOC-CL-PC-34</x:v>
      </x:c>
      <x:c r="B7" s="16" t="str">
        <x:v>Chile</x:v>
      </x:c>
      <x:c r="C7" s="16" t="str">
        <x:v>Programa de estudio: Pensamiento Computacional y Programación 3º/4º medio</x:v>
      </x:c>
      <x:c r="D7" s="16" t="str">
        <x:v>Ministerio de Educación</x:v>
      </x:c>
      <x:c r="E7" s="16" t="n">
        <x:v>2020</x:v>
      </x:c>
      <x:c r="F7" s="16" t="str">
        <x:v>espanhol</x:v>
      </x:c>
      <x:c r="G7" s="16" t="str">
        <x:v>secundário superior</x:v>
      </x:c>
      <x:c r="H7" s="16" t="str">
        <x:v>programa oficial</x:v>
      </x:c>
      <x:c r="I7" s="16" t="str">
        <x:v>nacional</x:v>
      </x:c>
      <x:c r="J7" s="16" t="str">
        <x:v>documento oficial</x:v>
      </x:c>
      <x:c r="K7" s="16" t="str">
        <x:v>https://www.curriculumnacional.cl/portal/Educacion-General/Matematica/Pensamiento-computacional-y-programacion/</x:v>
      </x:c>
      <x:c r="L7" s="16" t="str">
        <x:v>2026-08-28</x:v>
      </x:c>
      <x:c r="M7" s="16" t="str">
        <x:v>localizado</x:v>
      </x:c>
      <x:c r="N7" s="16" t="str">
        <x:v>Fonte específica de pensamento computacional.</x:v>
      </x:c>
    </x:row>
    <x:row r="8" ht="52" customHeight="1">
      <x:c r="A8" s="16" t="str">
        <x:v>DOC-EE-NC</x:v>
      </x:c>
      <x:c r="B8" s="16" t="str">
        <x:v>Estônia</x:v>
      </x:c>
      <x:c r="C8" s="16" t="str">
        <x:v>National Curriculum for Basic Schools</x:v>
      </x:c>
      <x:c r="D8" s="16" t="str">
        <x:v>Government of Estonia</x:v>
      </x:c>
      <x:c r="E8" s="16" t="n">
        <x:v>2014</x:v>
      </x:c>
      <x:c r="F8" s="16" t="str">
        <x:v>inglês/estoniano</x:v>
      </x:c>
      <x:c r="G8" s="16" t="str">
        <x:v>educação básica</x:v>
      </x:c>
      <x:c r="H8" s="16" t="str">
        <x:v>normativo</x:v>
      </x:c>
      <x:c r="I8" s="16" t="str">
        <x:v>nacional</x:v>
      </x:c>
      <x:c r="J8" s="16" t="str">
        <x:v>documento oficial</x:v>
      </x:c>
      <x:c r="K8" s="16" t="str">
        <x:v>https://www.riigiteataja.ee/en/eli/524092014014/consolide</x:v>
      </x:c>
      <x:c r="L8" s="16" t="str">
        <x:v>2026-08-28</x:v>
      </x:c>
      <x:c r="M8" s="16" t="str">
        <x:v>localizado</x:v>
      </x:c>
      <x:c r="N8" s="16" t="str">
        <x:v>Registrar versão consolidada e anexos.</x:v>
      </x:c>
    </x:row>
    <x:row r="9" ht="52" customHeight="1">
      <x:c r="A9" s="16" t="str">
        <x:v>DOC-EE-INF</x:v>
      </x:c>
      <x:c r="B9" s="16" t="str">
        <x:v>Estônia</x:v>
      </x:c>
      <x:c r="C9" s="16" t="str">
        <x:v>Appendix 10 — Informatics</x:v>
      </x:c>
      <x:c r="D9" s="16" t="str">
        <x:v>Ministry of Education and Research</x:v>
      </x:c>
      <x:c r="E9" s="16" t="n">
        <x:v>2014</x:v>
      </x:c>
      <x:c r="F9" s="16" t="str">
        <x:v>inglês</x:v>
      </x:c>
      <x:c r="G9" s="16" t="str">
        <x:v>educação básica</x:v>
      </x:c>
      <x:c r="H9" s="16" t="str">
        <x:v>normativo/anexo</x:v>
      </x:c>
      <x:c r="I9" s="16" t="str">
        <x:v>nacional</x:v>
      </x:c>
      <x:c r="J9" s="16" t="str">
        <x:v>documento oficial</x:v>
      </x:c>
      <x:c r="K9" s="16" t="str">
        <x:v>https://www.hm.ee/sites/default/files/documents/2022-10/est_basic_school_nat_cur_2014_appendix_10_final.pdf</x:v>
      </x:c>
      <x:c r="L9" s="16" t="str">
        <x:v>2026-08-28</x:v>
      </x:c>
      <x:c r="M9" s="16" t="str">
        <x:v>localizado</x:v>
      </x:c>
      <x:c r="N9" s="16" t="str">
        <x:v>Disciplina opcional; não confundir com competências digitais transversais.</x:v>
      </x:c>
    </x:row>
    <x:row r="10" ht="52" customHeight="1">
      <x:c r="A10" s="16" t="str">
        <x:v>DOC-MA-INF-2006</x:v>
      </x:c>
      <x:c r="B10" s="16" t="str">
        <x:v>Marrocos</x:v>
      </x:c>
      <x:c r="C10" s="16" t="str">
        <x:v>Curriculum d'informatique au collège</x:v>
      </x:c>
      <x:c r="D10" s="16" t="str">
        <x:v>Ministère de l'Éducation Nationale</x:v>
      </x:c>
      <x:c r="E10" s="16" t="n">
        <x:v>2006</x:v>
      </x:c>
      <x:c r="F10" s="16" t="str">
        <x:v>francês/árabe</x:v>
      </x:c>
      <x:c r="G10" s="16" t="str">
        <x:v>secundário inferior</x:v>
      </x:c>
      <x:c r="H10" s="16" t="str">
        <x:v>currículo oficial</x:v>
      </x:c>
      <x:c r="I10" s="16" t="str">
        <x:v>nacional</x:v>
      </x:c>
      <x:c r="J10" s="16" t="str">
        <x:v>portal pode restringir reutilização</x:v>
      </x:c>
      <x:c r="K10" s="16" t="str">
        <x:v>https://unesdoc.unesco.org/ark:/48223/pf0000190931</x:v>
      </x:c>
      <x:c r="L10" s="16" t="str">
        <x:v>2026-08-28</x:v>
      </x:c>
      <x:c r="M10" s="16" t="str">
        <x:v>registro localizado</x:v>
      </x:c>
      <x:c r="N10" s="16" t="str">
        <x:v>Citar metadados, página e paráfrase; confirmar licença antes de redistribuir o arquivo.</x:v>
      </x:c>
    </x:row>
    <x:row r="11" ht="52" customHeight="1">
      <x:c r="A11" s="16" t="str">
        <x:v>DOC-CH-LP21</x:v>
      </x:c>
      <x:c r="B11" s="16" t="str">
        <x:v>Suíça</x:v>
      </x:c>
      <x:c r="C11" s="16" t="str">
        <x:v>Lehrplan 21 — Medien und Informatik</x:v>
      </x:c>
      <x:c r="D11" s="16" t="str">
        <x:v>D-EDK</x:v>
      </x:c>
      <x:c r="E11" s="16" t="n">
        <x:v>2016</x:v>
      </x:c>
      <x:c r="F11" s="16" t="str">
        <x:v>alemão</x:v>
      </x:c>
      <x:c r="G11" s="16" t="str">
        <x:v>educação obrigatória</x:v>
      </x:c>
      <x:c r="H11" s="16" t="str">
        <x:v>currículo regional</x:v>
      </x:c>
      <x:c r="I11" s="16" t="str">
        <x:v>Suíça alemã</x:v>
      </x:c>
      <x:c r="J11" s="16" t="str">
        <x:v>documento oficial</x:v>
      </x:c>
      <x:c r="K11" s="16" t="str">
        <x:v>https://zh.lehrplan.ch/lehrplan_printout.php?e=1&amp;k=1&amp;fb_id=10</x:v>
      </x:c>
      <x:c r="L11" s="16" t="str">
        <x:v>2026-08-28</x:v>
      </x:c>
      <x:c r="M11" s="16" t="str">
        <x:v>localizado</x:v>
      </x:c>
      <x:c r="N11" s="16" t="str">
        <x:v>A Suíça não tem um único currículo nacional para toda a educação obrigatória.</x:v>
      </x:c>
    </x:row>
    <x:row r="12" ht="52" customHeight="1">
      <x:c r="A12" s="16" t="str">
        <x:v>DOC-CH-PER</x:v>
      </x:c>
      <x:c r="B12" s="16" t="str">
        <x:v>Suíça</x:v>
      </x:c>
      <x:c r="C12" s="16" t="str">
        <x:v>Plan d'études romand — Éducation numérique</x:v>
      </x:c>
      <x:c r="D12" s="16" t="str">
        <x:v>CIIP</x:v>
      </x:c>
      <x:c r="E12" s="16" t="n">
        <x:v>2021</x:v>
      </x:c>
      <x:c r="F12" s="16" t="str">
        <x:v>francês</x:v>
      </x:c>
      <x:c r="G12" s="16" t="str">
        <x:v>educação obrigatória</x:v>
      </x:c>
      <x:c r="H12" s="16" t="str">
        <x:v>currículo regional</x:v>
      </x:c>
      <x:c r="I12" s="16" t="str">
        <x:v>Suíça francófona</x:v>
      </x:c>
      <x:c r="J12" s="16" t="str">
        <x:v>documento oficial</x:v>
      </x:c>
      <x:c r="K12" s="16" t="str">
        <x:v>https://bdper.plandetudes.ch/uploads/per_pdf/Education_numerique/EN33_PER_Education%20numerique.pdf</x:v>
      </x:c>
      <x:c r="L12" s="16" t="str">
        <x:v>2026-08-28</x:v>
      </x:c>
      <x:c r="M12" s="16" t="str">
        <x:v>localizado</x:v>
      </x:c>
      <x:c r="N12" s="16" t="str">
        <x:v>Registrar ciclo e progressão.</x:v>
      </x:c>
    </x:row>
    <x:row r="13" ht="52" customHeight="1">
      <x:c r="A13" s="16" t="str">
        <x:v>DOC-CH-TI</x:v>
      </x:c>
      <x:c r="B13" s="16" t="str">
        <x:v>Suíça</x:v>
      </x:c>
      <x:c r="C13" s="16" t="str">
        <x:v>Piano di studio — Tecnologie e media</x:v>
      </x:c>
      <x:c r="D13" s="16" t="str">
        <x:v>Repubblica e Cantone Ticino</x:v>
      </x:c>
      <x:c r="E13" s="16" t="n">
        <x:v>2022</x:v>
      </x:c>
      <x:c r="F13" s="16" t="str">
        <x:v>italiano</x:v>
      </x:c>
      <x:c r="G13" s="16" t="str">
        <x:v>educação obrigatória</x:v>
      </x:c>
      <x:c r="H13" s="16" t="str">
        <x:v>currículo cantonal</x:v>
      </x:c>
      <x:c r="I13" s="16" t="str">
        <x:v>Ticino</x:v>
      </x:c>
      <x:c r="J13" s="16" t="str">
        <x:v>documento oficial</x:v>
      </x:c>
      <x:c r="K13" s="16" t="str">
        <x:v>https://pianodistudio.edu.ti.ch/wp-content/uploads/2023/12/Tecnologie-e-Media-modello-di-competenza.pdf</x:v>
      </x:c>
      <x:c r="L13" s="16" t="str">
        <x:v>2026-08-28</x:v>
      </x:c>
      <x:c r="M13" s="16" t="str">
        <x:v>localizado</x:v>
      </x:c>
      <x:c r="N13" s="16" t="str">
        <x:v>Comparar sem generalizar ao país inteiro.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42" hidden="0" customWidth="1"/>
    <x:col min="5" max="5" width="13" hidden="0" customWidth="1"/>
    <x:col min="6" max="6" width="58" hidden="0" customWidth="1"/>
    <x:col min="7" max="7" width="22" hidden="0" customWidth="1"/>
    <x:col min="8" max="8" width="14" hidden="0" customWidth="1"/>
    <x:col min="9" max="9" width="45" hidden="0" customWidth="1"/>
    <x:col min="10" max="10" width="24" hidden="0" customWidth="1"/>
  </x:cols>
  <x:sheetData>
    <x:row r="1" ht="30" customHeight="1">
      <x:c r="A1" s="15" t="str">
        <x:v>codigo_ecg</x:v>
      </x:c>
      <x:c r="B1" s="15" t="str">
        <x:v>dominio</x:v>
      </x:c>
      <x:c r="C1" s="15" t="str">
        <x:v>topico_id</x:v>
      </x:c>
      <x:c r="D1" s="15" t="str">
        <x:v>topico</x:v>
      </x:c>
      <x:c r="E1" s="15" t="str">
        <x:v>faixa_etaria</x:v>
      </x:c>
      <x:c r="F1" s="15" t="str">
        <x:v>objetivo_condensado_pt</x:v>
      </x:c>
      <x:c r="G1" s="15" t="str">
        <x:v>tipo_resultado</x:v>
      </x:c>
      <x:c r="H1" s="15" t="str">
        <x:v>pagina_referencia</x:v>
      </x:c>
      <x:c r="I1" s="15" t="str">
        <x:v>url_fonte</x:v>
      </x:c>
      <x:c r="J1" s="15" t="str">
        <x:v>status_carga</x:v>
      </x:c>
    </x:row>
    <x:row r="2" ht="46" customHeight="1">
      <x:c r="A2" s="16" t="str">
        <x:v>ECG-T01-5_9</x:v>
      </x:c>
      <x:c r="B2" s="16" t="str">
        <x:v>Cognitivo</x:v>
      </x:c>
      <x:c r="C2" s="16" t="n">
        <x:v>1</x:v>
      </x:c>
      <x:c r="D2" s="16" t="str">
        <x:v>Sistemas e estruturas locais, nacionais e globais</x:v>
      </x:c>
      <x:c r="E2" s="16" t="str">
        <x:v>5–9</x:v>
      </x:c>
      <x:c r="F2" s="16" t="str">
        <x:v>Identificar formas básicas de organização e ligação entre escalas.</x:v>
      </x:c>
      <x:c r="G2" s="16" t="str">
        <x:v>conhecimento/análise</x:v>
      </x:c>
      <x:c r="H2" s="16" t="n">
        <x:v>32</x:v>
      </x:c>
      <x:c r="I2" s="16" t="str">
        <x:v>https://unesdoc.unesco.org/ark:/48223/pf0000232993</x:v>
      </x:c>
      <x:c r="J2" s="16" t="str">
        <x:v>resumo analítico; validar tradução</x:v>
      </x:c>
    </x:row>
    <x:row r="3" ht="46" customHeight="1">
      <x:c r="A3" s="16" t="str">
        <x:v>ECG-T01-9_12</x:v>
      </x:c>
      <x:c r="B3" s="16" t="str">
        <x:v>Cognitivo</x:v>
      </x:c>
      <x:c r="C3" s="16" t="n">
        <x:v>1</x:v>
      </x:c>
      <x:c r="D3" s="16" t="str">
        <x:v>Sistemas e estruturas locais, nacionais e globais</x:v>
      </x:c>
      <x:c r="E3" s="16" t="str">
        <x:v>9–12</x:v>
      </x:c>
      <x:c r="F3" s="16" t="str">
        <x:v>Descrever sistemas, estruturas e relações entre níveis.</x:v>
      </x:c>
      <x:c r="G3" s="16" t="str">
        <x:v>conhecimento/análise</x:v>
      </x:c>
      <x:c r="H3" s="16" t="n">
        <x:v>32</x:v>
      </x:c>
      <x:c r="I3" s="16" t="str">
        <x:v>https://unesdoc.unesco.org/ark:/48223/pf0000232993</x:v>
      </x:c>
      <x:c r="J3" s="16" t="str">
        <x:v>resumo analítico; validar tradução</x:v>
      </x:c>
    </x:row>
    <x:row r="4" ht="46" customHeight="1">
      <x:c r="A4" s="16" t="str">
        <x:v>ECG-T01-12_15</x:v>
      </x:c>
      <x:c r="B4" s="16" t="str">
        <x:v>Cognitivo</x:v>
      </x:c>
      <x:c r="C4" s="16" t="n">
        <x:v>1</x:v>
      </x:c>
      <x:c r="D4" s="16" t="str">
        <x:v>Sistemas e estruturas locais, nacionais e globais</x:v>
      </x:c>
      <x:c r="E4" s="16" t="str">
        <x:v>12–15</x:v>
      </x:c>
      <x:c r="F4" s="16" t="str">
        <x:v>Analisar processos de governança e suas interdependências.</x:v>
      </x:c>
      <x:c r="G4" s="16" t="str">
        <x:v>conhecimento/análise</x:v>
      </x:c>
      <x:c r="H4" s="16" t="n">
        <x:v>32</x:v>
      </x:c>
      <x:c r="I4" s="16" t="str">
        <x:v>https://unesdoc.unesco.org/ark:/48223/pf0000232993</x:v>
      </x:c>
      <x:c r="J4" s="16" t="str">
        <x:v>resumo analítico; validar tradução</x:v>
      </x:c>
    </x:row>
    <x:row r="5" ht="46" customHeight="1">
      <x:c r="A5" s="16" t="str">
        <x:v>ECG-T01-15_18_</x:v>
      </x:c>
      <x:c r="B5" s="16" t="str">
        <x:v>Cognitivo</x:v>
      </x:c>
      <x:c r="C5" s="16" t="n">
        <x:v>1</x:v>
      </x:c>
      <x:c r="D5" s="16" t="str">
        <x:v>Sistemas e estruturas locais, nacionais e globais</x:v>
      </x:c>
      <x:c r="E5" s="16" t="str">
        <x:v>15–18+</x:v>
      </x:c>
      <x:c r="F5" s="16" t="str">
        <x:v>Avaliar criticamente sistemas, responsabilidades e participação em múltiplas escalas.</x:v>
      </x:c>
      <x:c r="G5" s="16" t="str">
        <x:v>conhecimento/análise</x:v>
      </x:c>
      <x:c r="H5" s="16" t="n">
        <x:v>32</x:v>
      </x:c>
      <x:c r="I5" s="16" t="str">
        <x:v>https://unesdoc.unesco.org/ark:/48223/pf0000232993</x:v>
      </x:c>
      <x:c r="J5" s="16" t="str">
        <x:v>resumo analítico; validar tradução</x:v>
      </x:c>
    </x:row>
    <x:row r="6" ht="46" customHeight="1">
      <x:c r="A6" s="16" t="str">
        <x:v>ECG-T02-5_9</x:v>
      </x:c>
      <x:c r="B6" s="16" t="str">
        <x:v>Cognitivo</x:v>
      </x:c>
      <x:c r="C6" s="16" t="n">
        <x:v>2</x:v>
      </x:c>
      <x:c r="D6" s="16" t="str">
        <x:v>Questões que afetam a interação e a conectividade</x:v>
      </x:c>
      <x:c r="E6" s="16" t="str">
        <x:v>5–9</x:v>
      </x:c>
      <x:c r="F6" s="16" t="str">
        <x:v>Reconhecer problemas comuns e conexões local–global.</x:v>
      </x:c>
      <x:c r="G6" s="16" t="str">
        <x:v>conhecimento/análise</x:v>
      </x:c>
      <x:c r="H6" s="16" t="n">
        <x:v>33</x:v>
      </x:c>
      <x:c r="I6" s="16" t="str">
        <x:v>https://unesdoc.unesco.org/ark:/48223/pf0000232993</x:v>
      </x:c>
      <x:c r="J6" s="16" t="str">
        <x:v>resumo analítico; validar tradução</x:v>
      </x:c>
    </x:row>
    <x:row r="7" ht="46" customHeight="1">
      <x:c r="A7" s="16" t="str">
        <x:v>ECG-T02-9_12</x:v>
      </x:c>
      <x:c r="B7" s="16" t="str">
        <x:v>Cognitivo</x:v>
      </x:c>
      <x:c r="C7" s="16" t="n">
        <x:v>2</x:v>
      </x:c>
      <x:c r="D7" s="16" t="str">
        <x:v>Questões que afetam a interação e a conectividade</x:v>
      </x:c>
      <x:c r="E7" s="16" t="str">
        <x:v>9–12</x:v>
      </x:c>
      <x:c r="F7" s="16" t="str">
        <x:v>Examinar causas, efeitos e relações entre comunidades.</x:v>
      </x:c>
      <x:c r="G7" s="16" t="str">
        <x:v>conhecimento/análise</x:v>
      </x:c>
      <x:c r="H7" s="16" t="n">
        <x:v>33</x:v>
      </x:c>
      <x:c r="I7" s="16" t="str">
        <x:v>https://unesdoc.unesco.org/ark:/48223/pf0000232993</x:v>
      </x:c>
      <x:c r="J7" s="16" t="str">
        <x:v>resumo analítico; validar tradução</x:v>
      </x:c>
    </x:row>
    <x:row r="8" ht="46" customHeight="1">
      <x:c r="A8" s="16" t="str">
        <x:v>ECG-T02-12_15</x:v>
      </x:c>
      <x:c r="B8" s="16" t="str">
        <x:v>Cognitivo</x:v>
      </x:c>
      <x:c r="C8" s="16" t="n">
        <x:v>2</x:v>
      </x:c>
      <x:c r="D8" s="16" t="str">
        <x:v>Questões que afetam a interação e a conectividade</x:v>
      </x:c>
      <x:c r="E8" s="16" t="str">
        <x:v>12–15</x:v>
      </x:c>
      <x:c r="F8" s="16" t="str">
        <x:v>Analisar interdependências e impactos de desafios compartilhados.</x:v>
      </x:c>
      <x:c r="G8" s="16" t="str">
        <x:v>conhecimento/análise</x:v>
      </x:c>
      <x:c r="H8" s="16" t="n">
        <x:v>33</x:v>
      </x:c>
      <x:c r="I8" s="16" t="str">
        <x:v>https://unesdoc.unesco.org/ark:/48223/pf0000232993</x:v>
      </x:c>
      <x:c r="J8" s="16" t="str">
        <x:v>resumo analítico; validar tradução</x:v>
      </x:c>
    </x:row>
    <x:row r="9" ht="46" customHeight="1">
      <x:c r="A9" s="16" t="str">
        <x:v>ECG-T02-15_18_</x:v>
      </x:c>
      <x:c r="B9" s="16" t="str">
        <x:v>Cognitivo</x:v>
      </x:c>
      <x:c r="C9" s="16" t="n">
        <x:v>2</x:v>
      </x:c>
      <x:c r="D9" s="16" t="str">
        <x:v>Questões que afetam a interação e a conectividade</x:v>
      </x:c>
      <x:c r="E9" s="16" t="str">
        <x:v>15–18+</x:v>
      </x:c>
      <x:c r="F9" s="16" t="str">
        <x:v>Avaliar desafios globais e formular respostas contextualizadas.</x:v>
      </x:c>
      <x:c r="G9" s="16" t="str">
        <x:v>conhecimento/análise</x:v>
      </x:c>
      <x:c r="H9" s="16" t="n">
        <x:v>33</x:v>
      </x:c>
      <x:c r="I9" s="16" t="str">
        <x:v>https://unesdoc.unesco.org/ark:/48223/pf0000232993</x:v>
      </x:c>
      <x:c r="J9" s="16" t="str">
        <x:v>resumo analítico; validar tradução</x:v>
      </x:c>
    </x:row>
    <x:row r="10" ht="46" customHeight="1">
      <x:c r="A10" s="16" t="str">
        <x:v>ECG-T03-5_9</x:v>
      </x:c>
      <x:c r="B10" s="16" t="str">
        <x:v>Cognitivo</x:v>
      </x:c>
      <x:c r="C10" s="16" t="n">
        <x:v>3</x:v>
      </x:c>
      <x:c r="D10" s="16" t="str">
        <x:v>Pressupostos subjacentes e dinâmicas de poder</x:v>
      </x:c>
      <x:c r="E10" s="16" t="str">
        <x:v>5–9</x:v>
      </x:c>
      <x:c r="F10" s="16" t="str">
        <x:v>Distinguir situações justas e injustas e relações simples de poder.</x:v>
      </x:c>
      <x:c r="G10" s="16" t="str">
        <x:v>conhecimento/análise</x:v>
      </x:c>
      <x:c r="H10" s="16" t="n">
        <x:v>34</x:v>
      </x:c>
      <x:c r="I10" s="16" t="str">
        <x:v>https://unesdoc.unesco.org/ark:/48223/pf0000232993</x:v>
      </x:c>
      <x:c r="J10" s="16" t="str">
        <x:v>resumo analítico; validar tradução</x:v>
      </x:c>
    </x:row>
    <x:row r="11" ht="46" customHeight="1">
      <x:c r="A11" s="16" t="str">
        <x:v>ECG-T03-9_12</x:v>
      </x:c>
      <x:c r="B11" s="16" t="str">
        <x:v>Cognitivo</x:v>
      </x:c>
      <x:c r="C11" s="16" t="n">
        <x:v>3</x:v>
      </x:c>
      <x:c r="D11" s="16" t="str">
        <x:v>Pressupostos subjacentes e dinâmicas de poder</x:v>
      </x:c>
      <x:c r="E11" s="16" t="str">
        <x:v>9–12</x:v>
      </x:c>
      <x:c r="F11" s="16" t="str">
        <x:v>Identificar pressupostos, estereótipos e relações de poder.</x:v>
      </x:c>
      <x:c r="G11" s="16" t="str">
        <x:v>conhecimento/análise</x:v>
      </x:c>
      <x:c r="H11" s="16" t="n">
        <x:v>34</x:v>
      </x:c>
      <x:c r="I11" s="16" t="str">
        <x:v>https://unesdoc.unesco.org/ark:/48223/pf0000232993</x:v>
      </x:c>
      <x:c r="J11" s="16" t="str">
        <x:v>resumo analítico; validar tradução</x:v>
      </x:c>
    </x:row>
    <x:row r="12" ht="46" customHeight="1">
      <x:c r="A12" s="16" t="str">
        <x:v>ECG-T03-12_15</x:v>
      </x:c>
      <x:c r="B12" s="16" t="str">
        <x:v>Cognitivo</x:v>
      </x:c>
      <x:c r="C12" s="16" t="n">
        <x:v>3</x:v>
      </x:c>
      <x:c r="D12" s="16" t="str">
        <x:v>Pressupostos subjacentes e dinâmicas de poder</x:v>
      </x:c>
      <x:c r="E12" s="16" t="str">
        <x:v>12–15</x:v>
      </x:c>
      <x:c r="F12" s="16" t="str">
        <x:v>Analisar poder, desigualdade e narrativas midiáticas.</x:v>
      </x:c>
      <x:c r="G12" s="16" t="str">
        <x:v>conhecimento/análise</x:v>
      </x:c>
      <x:c r="H12" s="16" t="n">
        <x:v>34</x:v>
      </x:c>
      <x:c r="I12" s="16" t="str">
        <x:v>https://unesdoc.unesco.org/ark:/48223/pf0000232993</x:v>
      </x:c>
      <x:c r="J12" s="16" t="str">
        <x:v>resumo analítico; validar tradução</x:v>
      </x:c>
    </x:row>
    <x:row r="13" ht="46" customHeight="1">
      <x:c r="A13" s="16" t="str">
        <x:v>ECG-T03-15_18_</x:v>
      </x:c>
      <x:c r="B13" s="16" t="str">
        <x:v>Cognitivo</x:v>
      </x:c>
      <x:c r="C13" s="16" t="n">
        <x:v>3</x:v>
      </x:c>
      <x:c r="D13" s="16" t="str">
        <x:v>Pressupostos subjacentes e dinâmicas de poder</x:v>
      </x:c>
      <x:c r="E13" s="16" t="str">
        <x:v>15–18+</x:v>
      </x:c>
      <x:c r="F13" s="16" t="str">
        <x:v>Questionar criticamente sistemas de poder e propor alternativas.</x:v>
      </x:c>
      <x:c r="G13" s="16" t="str">
        <x:v>conhecimento/análise</x:v>
      </x:c>
      <x:c r="H13" s="16" t="n">
        <x:v>34</x:v>
      </x:c>
      <x:c r="I13" s="16" t="str">
        <x:v>https://unesdoc.unesco.org/ark:/48223/pf0000232993</x:v>
      </x:c>
      <x:c r="J13" s="16" t="str">
        <x:v>resumo analítico; validar tradução</x:v>
      </x:c>
    </x:row>
    <x:row r="14" ht="46" customHeight="1">
      <x:c r="A14" s="16" t="str">
        <x:v>ECG-T04-5_9</x:v>
      </x:c>
      <x:c r="B14" s="16" t="str">
        <x:v>Socioemocional</x:v>
      </x:c>
      <x:c r="C14" s="16" t="n">
        <x:v>4</x:v>
      </x:c>
      <x:c r="D14" s="16" t="str">
        <x:v>Diferentes níveis de identidade</x:v>
      </x:c>
      <x:c r="E14" s="16" t="str">
        <x:v>5–9</x:v>
      </x:c>
      <x:c r="F14" s="16" t="str">
        <x:v>Reconhecer identidades pessoais, familiares e comunitárias.</x:v>
      </x:c>
      <x:c r="G14" s="16" t="str">
        <x:v>valor/atitude</x:v>
      </x:c>
      <x:c r="H14" s="16" t="n">
        <x:v>35</x:v>
      </x:c>
      <x:c r="I14" s="16" t="str">
        <x:v>https://unesdoc.unesco.org/ark:/48223/pf0000232993</x:v>
      </x:c>
      <x:c r="J14" s="16" t="str">
        <x:v>resumo analítico; validar tradução</x:v>
      </x:c>
    </x:row>
    <x:row r="15" ht="46" customHeight="1">
      <x:c r="A15" s="16" t="str">
        <x:v>ECG-T04-9_12</x:v>
      </x:c>
      <x:c r="B15" s="16" t="str">
        <x:v>Socioemocional</x:v>
      </x:c>
      <x:c r="C15" s="16" t="n">
        <x:v>4</x:v>
      </x:c>
      <x:c r="D15" s="16" t="str">
        <x:v>Diferentes níveis de identidade</x:v>
      </x:c>
      <x:c r="E15" s="16" t="str">
        <x:v>9–12</x:v>
      </x:c>
      <x:c r="F15" s="16" t="str">
        <x:v>Explorar identidades múltiplas e pertencimentos.</x:v>
      </x:c>
      <x:c r="G15" s="16" t="str">
        <x:v>valor/atitude</x:v>
      </x:c>
      <x:c r="H15" s="16" t="n">
        <x:v>35</x:v>
      </x:c>
      <x:c r="I15" s="16" t="str">
        <x:v>https://unesdoc.unesco.org/ark:/48223/pf0000232993</x:v>
      </x:c>
      <x:c r="J15" s="16" t="str">
        <x:v>resumo analítico; validar tradução</x:v>
      </x:c>
    </x:row>
    <x:row r="16" ht="46" customHeight="1">
      <x:c r="A16" s="16" t="str">
        <x:v>ECG-T04-12_15</x:v>
      </x:c>
      <x:c r="B16" s="16" t="str">
        <x:v>Socioemocional</x:v>
      </x:c>
      <x:c r="C16" s="16" t="n">
        <x:v>4</x:v>
      </x:c>
      <x:c r="D16" s="16" t="str">
        <x:v>Diferentes níveis de identidade</x:v>
      </x:c>
      <x:c r="E16" s="16" t="str">
        <x:v>12–15</x:v>
      </x:c>
      <x:c r="F16" s="16" t="str">
        <x:v>Analisar a complexidade e a mudança das identidades.</x:v>
      </x:c>
      <x:c r="G16" s="16" t="str">
        <x:v>valor/atitude</x:v>
      </x:c>
      <x:c r="H16" s="16" t="n">
        <x:v>35</x:v>
      </x:c>
      <x:c r="I16" s="16" t="str">
        <x:v>https://unesdoc.unesco.org/ark:/48223/pf0000232993</x:v>
      </x:c>
      <x:c r="J16" s="16" t="str">
        <x:v>resumo analítico; validar tradução</x:v>
      </x:c>
    </x:row>
    <x:row r="17" ht="46" customHeight="1">
      <x:c r="A17" s="16" t="str">
        <x:v>ECG-T04-15_18_</x:v>
      </x:c>
      <x:c r="B17" s="16" t="str">
        <x:v>Socioemocional</x:v>
      </x:c>
      <x:c r="C17" s="16" t="n">
        <x:v>4</x:v>
      </x:c>
      <x:c r="D17" s="16" t="str">
        <x:v>Diferentes níveis de identidade</x:v>
      </x:c>
      <x:c r="E17" s="16" t="str">
        <x:v>15–18+</x:v>
      </x:c>
      <x:c r="F17" s="16" t="str">
        <x:v>Refletir criticamente sobre identidade e cidadania local-global.</x:v>
      </x:c>
      <x:c r="G17" s="16" t="str">
        <x:v>valor/atitude</x:v>
      </x:c>
      <x:c r="H17" s="16" t="n">
        <x:v>35</x:v>
      </x:c>
      <x:c r="I17" s="16" t="str">
        <x:v>https://unesdoc.unesco.org/ark:/48223/pf0000232993</x:v>
      </x:c>
      <x:c r="J17" s="16" t="str">
        <x:v>resumo analítico; validar tradução</x:v>
      </x:c>
    </x:row>
    <x:row r="18" ht="46" customHeight="1">
      <x:c r="A18" s="16" t="str">
        <x:v>ECG-T05-5_9</x:v>
      </x:c>
      <x:c r="B18" s="16" t="str">
        <x:v>Socioemocional</x:v>
      </x:c>
      <x:c r="C18" s="16" t="n">
        <x:v>5</x:v>
      </x:c>
      <x:c r="D18" s="16" t="str">
        <x:v>Comunidades às quais pertencemos e suas conexões</x:v>
      </x:c>
      <x:c r="E18" s="16" t="str">
        <x:v>5–9</x:v>
      </x:c>
      <x:c r="F18" s="16" t="str">
        <x:v>Valorizar relações, cuidado e pertencimento compartilhado.</x:v>
      </x:c>
      <x:c r="G18" s="16" t="str">
        <x:v>valor/atitude</x:v>
      </x:c>
      <x:c r="H18" s="16" t="n">
        <x:v>36</x:v>
      </x:c>
      <x:c r="I18" s="16" t="str">
        <x:v>https://unesdoc.unesco.org/ark:/48223/pf0000232993</x:v>
      </x:c>
      <x:c r="J18" s="16" t="str">
        <x:v>resumo analítico; validar tradução</x:v>
      </x:c>
    </x:row>
    <x:row r="19" ht="46" customHeight="1">
      <x:c r="A19" s="16" t="str">
        <x:v>ECG-T05-9_12</x:v>
      </x:c>
      <x:c r="B19" s="16" t="str">
        <x:v>Socioemocional</x:v>
      </x:c>
      <x:c r="C19" s="16" t="n">
        <x:v>5</x:v>
      </x:c>
      <x:c r="D19" s="16" t="str">
        <x:v>Comunidades às quais pertencemos e suas conexões</x:v>
      </x:c>
      <x:c r="E19" s="16" t="str">
        <x:v>9–12</x:v>
      </x:c>
      <x:c r="F19" s="16" t="str">
        <x:v>Comparar comunidades e reconhecer interconexões.</x:v>
      </x:c>
      <x:c r="G19" s="16" t="str">
        <x:v>valor/atitude</x:v>
      </x:c>
      <x:c r="H19" s="16" t="n">
        <x:v>36</x:v>
      </x:c>
      <x:c r="I19" s="16" t="str">
        <x:v>https://unesdoc.unesco.org/ark:/48223/pf0000232993</x:v>
      </x:c>
      <x:c r="J19" s="16" t="str">
        <x:v>resumo analítico; validar tradução</x:v>
      </x:c>
    </x:row>
    <x:row r="20" ht="46" customHeight="1">
      <x:c r="A20" s="16" t="str">
        <x:v>ECG-T05-12_15</x:v>
      </x:c>
      <x:c r="B20" s="16" t="str">
        <x:v>Socioemocional</x:v>
      </x:c>
      <x:c r="C20" s="16" t="n">
        <x:v>5</x:v>
      </x:c>
      <x:c r="D20" s="16" t="str">
        <x:v>Comunidades às quais pertencemos e suas conexões</x:v>
      </x:c>
      <x:c r="E20" s="16" t="str">
        <x:v>12–15</x:v>
      </x:c>
      <x:c r="F20" s="16" t="str">
        <x:v>Examinar valores e responsabilidades comuns.</x:v>
      </x:c>
      <x:c r="G20" s="16" t="str">
        <x:v>valor/atitude</x:v>
      </x:c>
      <x:c r="H20" s="16" t="n">
        <x:v>36</x:v>
      </x:c>
      <x:c r="I20" s="16" t="str">
        <x:v>https://unesdoc.unesco.org/ark:/48223/pf0000232993</x:v>
      </x:c>
      <x:c r="J20" s="16" t="str">
        <x:v>resumo analítico; validar tradução</x:v>
      </x:c>
    </x:row>
    <x:row r="21" ht="46" customHeight="1">
      <x:c r="A21" s="16" t="str">
        <x:v>ECG-T05-15_18_</x:v>
      </x:c>
      <x:c r="B21" s="16" t="str">
        <x:v>Socioemocional</x:v>
      </x:c>
      <x:c r="C21" s="16" t="n">
        <x:v>5</x:v>
      </x:c>
      <x:c r="D21" s="16" t="str">
        <x:v>Comunidades às quais pertencemos e suas conexões</x:v>
      </x:c>
      <x:c r="E21" s="16" t="str">
        <x:v>15–18+</x:v>
      </x:c>
      <x:c r="F21" s="16" t="str">
        <x:v>Promover solidariedade e sentido de humanidade comum.</x:v>
      </x:c>
      <x:c r="G21" s="16" t="str">
        <x:v>valor/atitude</x:v>
      </x:c>
      <x:c r="H21" s="16" t="n">
        <x:v>36</x:v>
      </x:c>
      <x:c r="I21" s="16" t="str">
        <x:v>https://unesdoc.unesco.org/ark:/48223/pf0000232993</x:v>
      </x:c>
      <x:c r="J21" s="16" t="str">
        <x:v>resumo analítico; validar tradução</x:v>
      </x:c>
    </x:row>
    <x:row r="22" ht="46" customHeight="1">
      <x:c r="A22" s="16" t="str">
        <x:v>ECG-T06-5_9</x:v>
      </x:c>
      <x:c r="B22" s="16" t="str">
        <x:v>Socioemocional</x:v>
      </x:c>
      <x:c r="C22" s="16" t="n">
        <x:v>6</x:v>
      </x:c>
      <x:c r="D22" s="16" t="str">
        <x:v>Diferença e respeito pela diversidade</x:v>
      </x:c>
      <x:c r="E22" s="16" t="str">
        <x:v>5–9</x:v>
      </x:c>
      <x:c r="F22" s="16" t="str">
        <x:v>Reconhecer e respeitar diferenças.</x:v>
      </x:c>
      <x:c r="G22" s="16" t="str">
        <x:v>valor/atitude</x:v>
      </x:c>
      <x:c r="H22" s="16" t="n">
        <x:v>37</x:v>
      </x:c>
      <x:c r="I22" s="16" t="str">
        <x:v>https://unesdoc.unesco.org/ark:/48223/pf0000232993</x:v>
      </x:c>
      <x:c r="J22" s="16" t="str">
        <x:v>resumo analítico; validar tradução</x:v>
      </x:c>
    </x:row>
    <x:row r="23" ht="46" customHeight="1">
      <x:c r="A23" s="16" t="str">
        <x:v>ECG-T06-9_12</x:v>
      </x:c>
      <x:c r="B23" s="16" t="str">
        <x:v>Socioemocional</x:v>
      </x:c>
      <x:c r="C23" s="16" t="n">
        <x:v>6</x:v>
      </x:c>
      <x:c r="D23" s="16" t="str">
        <x:v>Diferença e respeito pela diversidade</x:v>
      </x:c>
      <x:c r="E23" s="16" t="str">
        <x:v>9–12</x:v>
      </x:c>
      <x:c r="F23" s="16" t="str">
        <x:v>Valorizar a diversidade e contestar preconceitos.</x:v>
      </x:c>
      <x:c r="G23" s="16" t="str">
        <x:v>valor/atitude</x:v>
      </x:c>
      <x:c r="H23" s="16" t="n">
        <x:v>37</x:v>
      </x:c>
      <x:c r="I23" s="16" t="str">
        <x:v>https://unesdoc.unesco.org/ark:/48223/pf0000232993</x:v>
      </x:c>
      <x:c r="J23" s="16" t="str">
        <x:v>resumo analítico; validar tradução</x:v>
      </x:c>
    </x:row>
    <x:row r="24" ht="46" customHeight="1">
      <x:c r="A24" s="16" t="str">
        <x:v>ECG-T06-12_15</x:v>
      </x:c>
      <x:c r="B24" s="16" t="str">
        <x:v>Socioemocional</x:v>
      </x:c>
      <x:c r="C24" s="16" t="n">
        <x:v>6</x:v>
      </x:c>
      <x:c r="D24" s="16" t="str">
        <x:v>Diferença e respeito pela diversidade</x:v>
      </x:c>
      <x:c r="E24" s="16" t="str">
        <x:v>12–15</x:v>
      </x:c>
      <x:c r="F24" s="16" t="str">
        <x:v>Analisar discriminação, inclusão e direitos.</x:v>
      </x:c>
      <x:c r="G24" s="16" t="str">
        <x:v>valor/atitude</x:v>
      </x:c>
      <x:c r="H24" s="16" t="n">
        <x:v>37</x:v>
      </x:c>
      <x:c r="I24" s="16" t="str">
        <x:v>https://unesdoc.unesco.org/ark:/48223/pf0000232993</x:v>
      </x:c>
      <x:c r="J24" s="16" t="str">
        <x:v>resumo analítico; validar tradução</x:v>
      </x:c>
    </x:row>
    <x:row r="25" ht="46" customHeight="1">
      <x:c r="A25" s="16" t="str">
        <x:v>ECG-T06-15_18_</x:v>
      </x:c>
      <x:c r="B25" s="16" t="str">
        <x:v>Socioemocional</x:v>
      </x:c>
      <x:c r="C25" s="16" t="n">
        <x:v>6</x:v>
      </x:c>
      <x:c r="D25" s="16" t="str">
        <x:v>Diferença e respeito pela diversidade</x:v>
      </x:c>
      <x:c r="E25" s="16" t="str">
        <x:v>15–18+</x:v>
      </x:c>
      <x:c r="F25" s="16" t="str">
        <x:v>Defender equidade, diversidade e direitos humanos.</x:v>
      </x:c>
      <x:c r="G25" s="16" t="str">
        <x:v>valor/atitude</x:v>
      </x:c>
      <x:c r="H25" s="16" t="n">
        <x:v>37</x:v>
      </x:c>
      <x:c r="I25" s="16" t="str">
        <x:v>https://unesdoc.unesco.org/ark:/48223/pf0000232993</x:v>
      </x:c>
      <x:c r="J25" s="16" t="str">
        <x:v>resumo analítico; validar tradução</x:v>
      </x:c>
    </x:row>
    <x:row r="26" ht="46" customHeight="1">
      <x:c r="A26" s="16" t="str">
        <x:v>ECG-T07-5_9</x:v>
      </x:c>
      <x:c r="B26" s="16" t="str">
        <x:v>Comportamental</x:v>
      </x:c>
      <x:c r="C26" s="16" t="n">
        <x:v>7</x:v>
      </x:c>
      <x:c r="D26" s="16" t="str">
        <x:v>Ações individuais e coletivas</x:v>
      </x:c>
      <x:c r="E26" s="16" t="str">
        <x:v>5–9</x:v>
      </x:c>
      <x:c r="F26" s="16" t="str">
        <x:v>Identificar ações simples de ajuda e cooperação.</x:v>
      </x:c>
      <x:c r="G26" s="16" t="str">
        <x:v>ação/participação</x:v>
      </x:c>
      <x:c r="H26" s="16" t="n">
        <x:v>38</x:v>
      </x:c>
      <x:c r="I26" s="16" t="str">
        <x:v>https://unesdoc.unesco.org/ark:/48223/pf0000232993</x:v>
      </x:c>
      <x:c r="J26" s="16" t="str">
        <x:v>resumo analítico; validar tradução</x:v>
      </x:c>
    </x:row>
    <x:row r="27" ht="46" customHeight="1">
      <x:c r="A27" s="16" t="str">
        <x:v>ECG-T07-9_12</x:v>
      </x:c>
      <x:c r="B27" s="16" t="str">
        <x:v>Comportamental</x:v>
      </x:c>
      <x:c r="C27" s="16" t="n">
        <x:v>7</x:v>
      </x:c>
      <x:c r="D27" s="16" t="str">
        <x:v>Ações individuais e coletivas</x:v>
      </x:c>
      <x:c r="E27" s="16" t="str">
        <x:v>9–12</x:v>
      </x:c>
      <x:c r="F27" s="16" t="str">
        <x:v>Planejar ações coletivas para questões da comunidade.</x:v>
      </x:c>
      <x:c r="G27" s="16" t="str">
        <x:v>ação/participação</x:v>
      </x:c>
      <x:c r="H27" s="16" t="n">
        <x:v>38</x:v>
      </x:c>
      <x:c r="I27" s="16" t="str">
        <x:v>https://unesdoc.unesco.org/ark:/48223/pf0000232993</x:v>
      </x:c>
      <x:c r="J27" s="16" t="str">
        <x:v>resumo analítico; validar tradução</x:v>
      </x:c>
    </x:row>
    <x:row r="28" ht="46" customHeight="1">
      <x:c r="A28" s="16" t="str">
        <x:v>ECG-T07-12_15</x:v>
      </x:c>
      <x:c r="B28" s="16" t="str">
        <x:v>Comportamental</x:v>
      </x:c>
      <x:c r="C28" s="16" t="n">
        <x:v>7</x:v>
      </x:c>
      <x:c r="D28" s="16" t="str">
        <x:v>Ações individuais e coletivas</x:v>
      </x:c>
      <x:c r="E28" s="16" t="str">
        <x:v>12–15</x:v>
      </x:c>
      <x:c r="F28" s="16" t="str">
        <x:v>Avaliar estratégias, papéis e possibilidades de mudança.</x:v>
      </x:c>
      <x:c r="G28" s="16" t="str">
        <x:v>ação/participação</x:v>
      </x:c>
      <x:c r="H28" s="16" t="n">
        <x:v>38</x:v>
      </x:c>
      <x:c r="I28" s="16" t="str">
        <x:v>https://unesdoc.unesco.org/ark:/48223/pf0000232993</x:v>
      </x:c>
      <x:c r="J28" s="16" t="str">
        <x:v>resumo analítico; validar tradução</x:v>
      </x:c>
    </x:row>
    <x:row r="29" ht="46" customHeight="1">
      <x:c r="A29" s="16" t="str">
        <x:v>ECG-T07-15_18_</x:v>
      </x:c>
      <x:c r="B29" s="16" t="str">
        <x:v>Comportamental</x:v>
      </x:c>
      <x:c r="C29" s="16" t="n">
        <x:v>7</x:v>
      </x:c>
      <x:c r="D29" s="16" t="str">
        <x:v>Ações individuais e coletivas</x:v>
      </x:c>
      <x:c r="E29" s="16" t="str">
        <x:v>15–18+</x:v>
      </x:c>
      <x:c r="F29" s="16" t="str">
        <x:v>Conceber e liderar ações coletivas baseadas em evidências.</x:v>
      </x:c>
      <x:c r="G29" s="16" t="str">
        <x:v>ação/participação</x:v>
      </x:c>
      <x:c r="H29" s="16" t="n">
        <x:v>38</x:v>
      </x:c>
      <x:c r="I29" s="16" t="str">
        <x:v>https://unesdoc.unesco.org/ark:/48223/pf0000232993</x:v>
      </x:c>
      <x:c r="J29" s="16" t="str">
        <x:v>resumo analítico; validar tradução</x:v>
      </x:c>
    </x:row>
    <x:row r="30" ht="46" customHeight="1">
      <x:c r="A30" s="16" t="str">
        <x:v>ECG-T08-5_9</x:v>
      </x:c>
      <x:c r="B30" s="16" t="str">
        <x:v>Comportamental</x:v>
      </x:c>
      <x:c r="C30" s="16" t="n">
        <x:v>8</x:v>
      </x:c>
      <x:c r="D30" s="16" t="str">
        <x:v>Comportamento eticamente responsável</x:v>
      </x:c>
      <x:c r="E30" s="16" t="str">
        <x:v>5–9</x:v>
      </x:c>
      <x:c r="F30" s="16" t="str">
        <x:v>Agir com justiça e responsabilidade em situações cotidianas.</x:v>
      </x:c>
      <x:c r="G30" s="16" t="str">
        <x:v>ação/participação</x:v>
      </x:c>
      <x:c r="H30" s="16" t="n">
        <x:v>39</x:v>
      </x:c>
      <x:c r="I30" s="16" t="str">
        <x:v>https://unesdoc.unesco.org/ark:/48223/pf0000232993</x:v>
      </x:c>
      <x:c r="J30" s="16" t="str">
        <x:v>resumo analítico; validar tradução</x:v>
      </x:c>
    </x:row>
    <x:row r="31" ht="46" customHeight="1">
      <x:c r="A31" s="16" t="str">
        <x:v>ECG-T08-9_12</x:v>
      </x:c>
      <x:c r="B31" s="16" t="str">
        <x:v>Comportamental</x:v>
      </x:c>
      <x:c r="C31" s="16" t="n">
        <x:v>8</x:v>
      </x:c>
      <x:c r="D31" s="16" t="str">
        <x:v>Comportamento eticamente responsável</x:v>
      </x:c>
      <x:c r="E31" s="16" t="str">
        <x:v>9–12</x:v>
      </x:c>
      <x:c r="F31" s="16" t="str">
        <x:v>Explicar consequências e realizar escolhas éticas.</x:v>
      </x:c>
      <x:c r="G31" s="16" t="str">
        <x:v>ação/participação</x:v>
      </x:c>
      <x:c r="H31" s="16" t="n">
        <x:v>39</x:v>
      </x:c>
      <x:c r="I31" s="16" t="str">
        <x:v>https://unesdoc.unesco.org/ark:/48223/pf0000232993</x:v>
      </x:c>
      <x:c r="J31" s="16" t="str">
        <x:v>resumo analítico; validar tradução</x:v>
      </x:c>
    </x:row>
    <x:row r="32" ht="46" customHeight="1">
      <x:c r="A32" s="16" t="str">
        <x:v>ECG-T08-12_15</x:v>
      </x:c>
      <x:c r="B32" s="16" t="str">
        <x:v>Comportamental</x:v>
      </x:c>
      <x:c r="C32" s="16" t="n">
        <x:v>8</x:v>
      </x:c>
      <x:c r="D32" s="16" t="str">
        <x:v>Comportamento eticamente responsável</x:v>
      </x:c>
      <x:c r="E32" s="16" t="str">
        <x:v>12–15</x:v>
      </x:c>
      <x:c r="F32" s="16" t="str">
        <x:v>Avaliar dilemas, consequências e prestação de contas.</x:v>
      </x:c>
      <x:c r="G32" s="16" t="str">
        <x:v>ação/participação</x:v>
      </x:c>
      <x:c r="H32" s="16" t="n">
        <x:v>39</x:v>
      </x:c>
      <x:c r="I32" s="16" t="str">
        <x:v>https://unesdoc.unesco.org/ark:/48223/pf0000232993</x:v>
      </x:c>
      <x:c r="J32" s="16" t="str">
        <x:v>resumo analítico; validar tradução</x:v>
      </x:c>
    </x:row>
    <x:row r="33" ht="46" customHeight="1">
      <x:c r="A33" s="16" t="str">
        <x:v>ECG-T08-15_18_</x:v>
      </x:c>
      <x:c r="B33" s="16" t="str">
        <x:v>Comportamental</x:v>
      </x:c>
      <x:c r="C33" s="16" t="n">
        <x:v>8</x:v>
      </x:c>
      <x:c r="D33" s="16" t="str">
        <x:v>Comportamento eticamente responsável</x:v>
      </x:c>
      <x:c r="E33" s="16" t="str">
        <x:v>15–18+</x:v>
      </x:c>
      <x:c r="F33" s="16" t="str">
        <x:v>Aplicar raciocínio ético e decisão responsável.</x:v>
      </x:c>
      <x:c r="G33" s="16" t="str">
        <x:v>ação/participação</x:v>
      </x:c>
      <x:c r="H33" s="16" t="n">
        <x:v>39</x:v>
      </x:c>
      <x:c r="I33" s="16" t="str">
        <x:v>https://unesdoc.unesco.org/ark:/48223/pf0000232993</x:v>
      </x:c>
      <x:c r="J33" s="16" t="str">
        <x:v>resumo analítico; validar tradução</x:v>
      </x:c>
    </x:row>
    <x:row r="34" ht="46" customHeight="1">
      <x:c r="A34" s="16" t="str">
        <x:v>ECG-T09-5_9</x:v>
      </x:c>
      <x:c r="B34" s="16" t="str">
        <x:v>Comportamental</x:v>
      </x:c>
      <x:c r="C34" s="16" t="n">
        <x:v>9</x:v>
      </x:c>
      <x:c r="D34" s="16" t="str">
        <x:v>Engajamento e ação</x:v>
      </x:c>
      <x:c r="E34" s="16" t="str">
        <x:v>5–9</x:v>
      </x:c>
      <x:c r="F34" s="16" t="str">
        <x:v>Participar de pequenas ações locais.</x:v>
      </x:c>
      <x:c r="G34" s="16" t="str">
        <x:v>ação/participação</x:v>
      </x:c>
      <x:c r="H34" s="16" t="n">
        <x:v>40</x:v>
      </x:c>
      <x:c r="I34" s="16" t="str">
        <x:v>https://unesdoc.unesco.org/ark:/48223/pf0000232993</x:v>
      </x:c>
      <x:c r="J34" s="16" t="str">
        <x:v>resumo analítico; validar tradução</x:v>
      </x:c>
    </x:row>
    <x:row r="35" ht="46" customHeight="1">
      <x:c r="A35" s="16" t="str">
        <x:v>ECG-T09-9_12</x:v>
      </x:c>
      <x:c r="B35" s="16" t="str">
        <x:v>Comportamental</x:v>
      </x:c>
      <x:c r="C35" s="16" t="n">
        <x:v>9</x:v>
      </x:c>
      <x:c r="D35" s="16" t="str">
        <x:v>Engajamento e ação</x:v>
      </x:c>
      <x:c r="E35" s="16" t="str">
        <x:v>9–12</x:v>
      </x:c>
      <x:c r="F35" s="16" t="str">
        <x:v>Implementar e refletir sobre ações comunitárias.</x:v>
      </x:c>
      <x:c r="G35" s="16" t="str">
        <x:v>ação/participação</x:v>
      </x:c>
      <x:c r="H35" s="16" t="n">
        <x:v>40</x:v>
      </x:c>
      <x:c r="I35" s="16" t="str">
        <x:v>https://unesdoc.unesco.org/ark:/48223/pf0000232993</x:v>
      </x:c>
      <x:c r="J35" s="16" t="str">
        <x:v>resumo analítico; validar tradução</x:v>
      </x:c>
    </x:row>
    <x:row r="36" ht="46" customHeight="1">
      <x:c r="A36" s="16" t="str">
        <x:v>ECG-T09-12_15</x:v>
      </x:c>
      <x:c r="B36" s="16" t="str">
        <x:v>Comportamental</x:v>
      </x:c>
      <x:c r="C36" s="16" t="n">
        <x:v>9</x:v>
      </x:c>
      <x:c r="D36" s="16" t="str">
        <x:v>Engajamento e ação</x:v>
      </x:c>
      <x:c r="E36" s="16" t="str">
        <x:v>12–15</x:v>
      </x:c>
      <x:c r="F36" s="16" t="str">
        <x:v>Engajar-se civicamente e avaliar resultados.</x:v>
      </x:c>
      <x:c r="G36" s="16" t="str">
        <x:v>ação/participação</x:v>
      </x:c>
      <x:c r="H36" s="16" t="n">
        <x:v>40</x:v>
      </x:c>
      <x:c r="I36" s="16" t="str">
        <x:v>https://unesdoc.unesco.org/ark:/48223/pf0000232993</x:v>
      </x:c>
      <x:c r="J36" s="16" t="str">
        <x:v>resumo analítico; validar tradução</x:v>
      </x:c>
    </x:row>
    <x:row r="37" ht="46" customHeight="1">
      <x:c r="A37" s="16" t="str">
        <x:v>ECG-T09-15_18_</x:v>
      </x:c>
      <x:c r="B37" s="16" t="str">
        <x:v>Comportamental</x:v>
      </x:c>
      <x:c r="C37" s="16" t="n">
        <x:v>9</x:v>
      </x:c>
      <x:c r="D37" s="16" t="str">
        <x:v>Engajamento e ação</x:v>
      </x:c>
      <x:c r="E37" s="16" t="str">
        <x:v>15–18+</x:v>
      </x:c>
      <x:c r="F37" s="16" t="str">
        <x:v>Sustentar ação democrática/global e avaliar impacto.</x:v>
      </x:c>
      <x:c r="G37" s="16" t="str">
        <x:v>ação/participação</x:v>
      </x:c>
      <x:c r="H37" s="16" t="n">
        <x:v>40</x:v>
      </x:c>
      <x:c r="I37" s="16" t="str">
        <x:v>https://unesdoc.unesco.org/ark:/48223/pf0000232993</x:v>
      </x:c>
      <x:c r="J37" s="16" t="str">
        <x:v>resumo analítico; validar tradução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75" hidden="0" customWidth="1"/>
    <x:col min="4" max="4" width="36" hidden="0" customWidth="1"/>
    <x:col min="5" max="5" width="27" hidden="0" customWidth="1"/>
    <x:col min="6" max="6" width="48" hidden="0" customWidth="1"/>
  </x:cols>
  <x:sheetData>
    <x:row r="1" ht="30" customHeight="1">
      <x:c r="A1" s="15" t="str">
        <x:v>codigo</x:v>
      </x:c>
      <x:c r="B1" s="15" t="str">
        <x:v>competencia</x:v>
      </x:c>
      <x:c r="C1" s="15" t="str">
        <x:v>descricao_condensada</x:v>
      </x:c>
      <x:c r="D1" s="15" t="str">
        <x:v>dimensoes_chave</x:v>
      </x:c>
      <x:c r="E1" s="15" t="str">
        <x:v>ponte_unesco</x:v>
      </x:c>
      <x:c r="F1" s="15" t="str">
        <x:v>url_fonte</x:v>
      </x:c>
    </x:row>
    <x:row r="2" ht="56" customHeight="1">
      <x:c r="A2" s="16" t="str">
        <x:v>CG01</x:v>
      </x:c>
      <x:c r="B2" s="16" t="str">
        <x:v>Conhecimento</x:v>
      </x:c>
      <x:c r="C2" s="16" t="str">
        <x:v>Valorizar e utilizar conhecimentos historicamente construídos para compreender a realidade e colaborar com uma sociedade justa, democrática e inclusiva.</x:v>
      </x:c>
      <x:c r="D2" s="16" t="str">
        <x:v>conhecimento; realidade; aprendizagem</x:v>
      </x:c>
      <x:c r="E2" s="16" t="str">
        <x:v>Cognitivo</x:v>
      </x:c>
      <x:c r="F2" s="16" t="str">
        <x:v>https://basenacionalcomum.mec.gov.br/images/BNCC_EI_EF_110518_versaofinal_site.pdf</x:v>
      </x:c>
    </x:row>
    <x:row r="3" ht="56" customHeight="1">
      <x:c r="A3" s="16" t="str">
        <x:v>CG02</x:v>
      </x:c>
      <x:c r="B3" s="16" t="str">
        <x:v>Pensamento científico, crítico e criativo</x:v>
      </x:c>
      <x:c r="C3" s="16" t="str">
        <x:v>Exercitar curiosidade, investigação, reflexão, análise crítica, imaginação e criatividade para formular e resolver problemas.</x:v>
      </x:c>
      <x:c r="D3" s="16" t="str">
        <x:v>investigação; criticidade; criatividade</x:v>
      </x:c>
      <x:c r="E3" s="16" t="str">
        <x:v>Cognitivo</x:v>
      </x:c>
      <x:c r="F3" s="16" t="str">
        <x:v>https://basenacionalcomum.mec.gov.br/images/BNCC_EI_EF_110518_versaofinal_site.pdf</x:v>
      </x:c>
    </x:row>
    <x:row r="4" ht="56" customHeight="1">
      <x:c r="A4" s="16" t="str">
        <x:v>CG03</x:v>
      </x:c>
      <x:c r="B4" s="16" t="str">
        <x:v>Repertório cultural</x:v>
      </x:c>
      <x:c r="C4" s="16" t="str">
        <x:v>Valorizar e participar de manifestações artísticas e culturais diversas.</x:v>
      </x:c>
      <x:c r="D4" s="16" t="str">
        <x:v>cultura; fruição; produção</x:v>
      </x:c>
      <x:c r="E4" s="16" t="str">
        <x:v>Socioemocional</x:v>
      </x:c>
      <x:c r="F4" s="16" t="str">
        <x:v>https://basenacionalcomum.mec.gov.br/images/BNCC_EI_EF_110518_versaofinal_site.pdf</x:v>
      </x:c>
    </x:row>
    <x:row r="5" ht="56" customHeight="1">
      <x:c r="A5" s="16" t="str">
        <x:v>CG04</x:v>
      </x:c>
      <x:c r="B5" s="16" t="str">
        <x:v>Comunicação</x:v>
      </x:c>
      <x:c r="C5" s="16" t="str">
        <x:v>Utilizar diferentes linguagens para expressar e compartilhar informações, experiências, ideias e sentimentos.</x:v>
      </x:c>
      <x:c r="D5" s="16" t="str">
        <x:v>linguagens; expressão; entendimento mútuo</x:v>
      </x:c>
      <x:c r="E5" s="16" t="str">
        <x:v>Socioemocional</x:v>
      </x:c>
      <x:c r="F5" s="16" t="str">
        <x:v>https://basenacionalcomum.mec.gov.br/images/BNCC_EI_EF_110518_versaofinal_site.pdf</x:v>
      </x:c>
    </x:row>
    <x:row r="6" ht="56" customHeight="1">
      <x:c r="A6" s="16" t="str">
        <x:v>CG05</x:v>
      </x:c>
      <x:c r="B6" s="16" t="str">
        <x:v>Cultura digital</x:v>
      </x:c>
      <x:c r="C6" s="16" t="str">
        <x:v>Compreender, utilizar e criar tecnologias digitais de forma crítica, significativa, reflexiva e ética.</x:v>
      </x:c>
      <x:c r="D6" s="16" t="str">
        <x:v>tecnologia; autoria; ética; protagonismo</x:v>
      </x:c>
      <x:c r="E6" s="16" t="str">
        <x:v>Cognitivo / Comportamental</x:v>
      </x:c>
      <x:c r="F6" s="16" t="str">
        <x:v>https://basenacionalcomum.mec.gov.br/images/BNCC_EI_EF_110518_versaofinal_site.pdf</x:v>
      </x:c>
    </x:row>
    <x:row r="7" ht="56" customHeight="1">
      <x:c r="A7" s="16" t="str">
        <x:v>CG06</x:v>
      </x:c>
      <x:c r="B7" s="16" t="str">
        <x:v>Trabalho e projeto de vida</x:v>
      </x:c>
      <x:c r="C7" s="16" t="str">
        <x:v>Valorizar saberes e experiências para compreender o trabalho e fazer escolhas alinhadas à cidadania e ao projeto de vida.</x:v>
      </x:c>
      <x:c r="D7" s="16" t="str">
        <x:v>trabalho; autonomia; projeto de vida</x:v>
      </x:c>
      <x:c r="E7" s="16" t="str">
        <x:v>Comportamental</x:v>
      </x:c>
      <x:c r="F7" s="16" t="str">
        <x:v>https://basenacionalcomum.mec.gov.br/images/BNCC_EI_EF_110518_versaofinal_site.pdf</x:v>
      </x:c>
    </x:row>
    <x:row r="8" ht="56" customHeight="1">
      <x:c r="A8" s="16" t="str">
        <x:v>CG07</x:v>
      </x:c>
      <x:c r="B8" s="16" t="str">
        <x:v>Argumentação</x:v>
      </x:c>
      <x:c r="C8" s="16" t="str">
        <x:v>Argumentar com fatos, dados e informações confiáveis, respeitando direitos humanos e responsabilidade socioambiental.</x:v>
      </x:c>
      <x:c r="D8" s="16" t="str">
        <x:v>evidência; diálogo; decisão responsável</x:v>
      </x:c>
      <x:c r="E8" s="16" t="str">
        <x:v>Cognitivo / Comportamental</x:v>
      </x:c>
      <x:c r="F8" s="16" t="str">
        <x:v>https://basenacionalcomum.mec.gov.br/images/BNCC_EI_EF_110518_versaofinal_site.pdf</x:v>
      </x:c>
    </x:row>
    <x:row r="9" ht="56" customHeight="1">
      <x:c r="A9" s="16" t="str">
        <x:v>CG08</x:v>
      </x:c>
      <x:c r="B9" s="16" t="str">
        <x:v>Autoconhecimento e autocuidado</x:v>
      </x:c>
      <x:c r="C9" s="16" t="str">
        <x:v>Conhecer-se e cuidar da saúde física e emocional, reconhecendo emoções próprias e alheias.</x:v>
      </x:c>
      <x:c r="D9" s="16" t="str">
        <x:v>saúde; emoções; autocuidado</x:v>
      </x:c>
      <x:c r="E9" s="16" t="str">
        <x:v>Socioemocional</x:v>
      </x:c>
      <x:c r="F9" s="16" t="str">
        <x:v>https://basenacionalcomum.mec.gov.br/images/BNCC_EI_EF_110518_versaofinal_site.pdf</x:v>
      </x:c>
    </x:row>
    <x:row r="10" ht="56" customHeight="1">
      <x:c r="A10" s="16" t="str">
        <x:v>CG09</x:v>
      </x:c>
      <x:c r="B10" s="16" t="str">
        <x:v>Empatia e cooperação</x:v>
      </x:c>
      <x:c r="C10" s="16" t="str">
        <x:v>Exercitar empatia, diálogo, resolução de conflitos e cooperação, respeitando diversidade e direitos.</x:v>
      </x:c>
      <x:c r="D10" s="16" t="str">
        <x:v>empatia; diversidade; cooperação</x:v>
      </x:c>
      <x:c r="E10" s="16" t="str">
        <x:v>Socioemocional</x:v>
      </x:c>
      <x:c r="F10" s="16" t="str">
        <x:v>https://basenacionalcomum.mec.gov.br/images/BNCC_EI_EF_110518_versaofinal_site.pdf</x:v>
      </x:c>
    </x:row>
    <x:row r="11" ht="56" customHeight="1">
      <x:c r="A11" s="16" t="str">
        <x:v>CG10</x:v>
      </x:c>
      <x:c r="B11" s="16" t="str">
        <x:v>Responsabilidade e cidadania</x:v>
      </x:c>
      <x:c r="C11" s="16" t="str">
        <x:v>Agir pessoal e coletivamente com autonomia, responsabilidade, flexibilidade, resiliência e determinação.</x:v>
      </x:c>
      <x:c r="D11" s="16" t="str">
        <x:v>autonomia; ética; cidadania; sustentabilidade</x:v>
      </x:c>
      <x:c r="E11" s="16" t="str">
        <x:v>Comportamental</x:v>
      </x:c>
      <x:c r="F11" s="16" t="str">
        <x:v>https://basenacionalcomum.mec.gov.br/images/BNCC_EI_EF_110518_versaofinal_site.pdf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23" hidden="0" customWidth="1"/>
    <x:col min="5" max="5" width="24" hidden="0" customWidth="1"/>
    <x:col min="6" max="6" width="70" hidden="0" customWidth="1"/>
    <x:col min="7" max="7" width="10" hidden="0" customWidth="1"/>
    <x:col min="8" max="8" width="48" hidden="0" customWidth="1"/>
    <x:col min="9" max="9" width="28" hidden="0" customWidth="1"/>
  </x:cols>
  <x:sheetData>
    <x:row r="1" ht="30" customHeight="1">
      <x:c r="A1" s="15" t="str">
        <x:v>codigo</x:v>
      </x:c>
      <x:c r="B1" s="15" t="str">
        <x:v>etapa</x:v>
      </x:c>
      <x:c r="C1" s="15" t="str">
        <x:v>ano_faixa</x:v>
      </x:c>
      <x:c r="D1" s="15" t="str">
        <x:v>eixo</x:v>
      </x:c>
      <x:c r="E1" s="15" t="str">
        <x:v>objeto_foco</x:v>
      </x:c>
      <x:c r="F1" s="15" t="str">
        <x:v>habilidade_resumida</x:v>
      </x:c>
      <x:c r="G1" s="15" t="str">
        <x:v>pagina</x:v>
      </x:c>
      <x:c r="H1" s="15" t="str">
        <x:v>url_fonte</x:v>
      </x:c>
      <x:c r="I1" s="15" t="str">
        <x:v>status_carga</x:v>
      </x:c>
    </x:row>
    <x:row r="2" ht="52" customHeight="1">
      <x:c r="A2" s="16" t="str">
        <x:v>EI03CO01</x:v>
      </x:c>
      <x:c r="B2" s="16" t="str">
        <x:v>Educação Infantil</x:v>
      </x:c>
      <x:c r="C2" s="16" t="str">
        <x:v>crianças pequenas</x:v>
      </x:c>
      <x:c r="D2" s="16" t="str">
        <x:v>Pensamento Computacional</x:v>
      </x:c>
      <x:c r="E2" s="16" t="str">
        <x:v>padrões</x:v>
      </x:c>
      <x:c r="F2" s="16" t="str">
        <x:v>Reconhecer padrões repetitivos em sons, movimentos e desenhos.</x:v>
      </x:c>
      <x:c r="G2" s="16" t="n">
        <x:v>5</x:v>
      </x:c>
      <x:c r="H2" s="16" t="str">
        <x:v>https://portal.mec.gov.br/docman/fevereiro-2022-pdf/236791-anexo-ao-parecer-cneceb-n-2-2022-bncc-computacao/file</x:v>
      </x:c>
      <x:c r="I2" s="16" t="str">
        <x:v>carregada — resumo do código oficial</x:v>
      </x:c>
    </x:row>
    <x:row r="3" ht="52" customHeight="1">
      <x:c r="A3" s="16" t="str">
        <x:v>EI03CO02</x:v>
      </x:c>
      <x:c r="B3" s="16" t="str">
        <x:v>Educação Infantil</x:v>
      </x:c>
      <x:c r="C3" s="16" t="str">
        <x:v>crianças pequenas</x:v>
      </x:c>
      <x:c r="D3" s="16" t="str">
        <x:v>Pensamento Computacional</x:v>
      </x:c>
      <x:c r="E3" s="16" t="str">
        <x:v>algoritmos</x:v>
      </x:c>
      <x:c r="F3" s="16" t="str">
        <x:v>Expressar uma sequência ordenada de passos para realizar uma tarefa.</x:v>
      </x:c>
      <x:c r="G3" s="16" t="n">
        <x:v>5</x:v>
      </x:c>
      <x:c r="H3" s="16" t="str">
        <x:v>https://portal.mec.gov.br/docman/fevereiro-2022-pdf/236791-anexo-ao-parecer-cneceb-n-2-2022-bncc-computacao/file</x:v>
      </x:c>
      <x:c r="I3" s="16" t="str">
        <x:v>carregada — resumo do código oficial</x:v>
      </x:c>
    </x:row>
    <x:row r="4" ht="52" customHeight="1">
      <x:c r="A4" s="16" t="str">
        <x:v>EI03CO03</x:v>
      </x:c>
      <x:c r="B4" s="16" t="str">
        <x:v>Educação Infantil</x:v>
      </x:c>
      <x:c r="C4" s="16" t="str">
        <x:v>crianças pequenas</x:v>
      </x:c>
      <x:c r="D4" s="16" t="str">
        <x:v>Pensamento Computacional</x:v>
      </x:c>
      <x:c r="E4" s="16" t="str">
        <x:v>algoritmos</x:v>
      </x:c>
      <x:c r="F4" s="16" t="str">
        <x:v>Vivenciar a execução de algoritmos com objetos plugados ou desplugados.</x:v>
      </x:c>
      <x:c r="G4" s="16" t="n">
        <x:v>5</x:v>
      </x:c>
      <x:c r="H4" s="16" t="str">
        <x:v>https://portal.mec.gov.br/docman/fevereiro-2022-pdf/236791-anexo-ao-parecer-cneceb-n-2-2022-bncc-computacao/file</x:v>
      </x:c>
      <x:c r="I4" s="16" t="str">
        <x:v>carregada — resumo do código oficial</x:v>
      </x:c>
    </x:row>
    <x:row r="5" ht="52" customHeight="1">
      <x:c r="A5" s="16" t="str">
        <x:v>EF01CO01</x:v>
      </x:c>
      <x:c r="B5" s="16" t="str">
        <x:v>Ensino Fundamental</x:v>
      </x:c>
      <x:c r="C5" s="16" t="str">
        <x:v>1º ano</x:v>
      </x:c>
      <x:c r="D5" s="16" t="str">
        <x:v>Pensamento Computacional</x:v>
      </x:c>
      <x:c r="E5" s="16" t="str">
        <x:v>organização de objetos</x:v>
      </x:c>
      <x:c r="F5" s="16" t="str">
        <x:v>Organizar objetos físicos ou digitais por características, padrões e diferenças.</x:v>
      </x:c>
      <x:c r="G5" s="16" t="n">
        <x:v>12</x:v>
      </x:c>
      <x:c r="H5" s="16" t="str">
        <x:v>https://portal.mec.gov.br/docman/fevereiro-2022-pdf/236791-anexo-ao-parecer-cneceb-n-2-2022-bncc-computacao/file</x:v>
      </x:c>
      <x:c r="I5" s="16" t="str">
        <x:v>carregada — resumo do código oficial</x:v>
      </x:c>
    </x:row>
    <x:row r="6" ht="52" customHeight="1">
      <x:c r="A6" s="16" t="str">
        <x:v>EF01CO02</x:v>
      </x:c>
      <x:c r="B6" s="16" t="str">
        <x:v>Ensino Fundamental</x:v>
      </x:c>
      <x:c r="C6" s="16" t="str">
        <x:v>1º ano</x:v>
      </x:c>
      <x:c r="D6" s="16" t="str">
        <x:v>Pensamento Computacional</x:v>
      </x:c>
      <x:c r="E6" s="16" t="str">
        <x:v>sequências</x:v>
      </x:c>
      <x:c r="F6" s="16" t="str">
        <x:v>Identificar e seguir sequências do cotidiano para resolver problemas.</x:v>
      </x:c>
      <x:c r="G6" s="16" t="n">
        <x:v>12</x:v>
      </x:c>
      <x:c r="H6" s="16" t="str">
        <x:v>https://portal.mec.gov.br/docman/fevereiro-2022-pdf/236791-anexo-ao-parecer-cneceb-n-2-2022-bncc-computacao/file</x:v>
      </x:c>
      <x:c r="I6" s="16" t="str">
        <x:v>carregada — resumo do código oficial</x:v>
      </x:c>
    </x:row>
    <x:row r="7" ht="52" customHeight="1">
      <x:c r="A7" s="16" t="str">
        <x:v>EF01CO03</x:v>
      </x:c>
      <x:c r="B7" s="16" t="str">
        <x:v>Ensino Fundamental</x:v>
      </x:c>
      <x:c r="C7" s="16" t="str">
        <x:v>1º ano</x:v>
      </x:c>
      <x:c r="D7" s="16" t="str">
        <x:v>Pensamento Computacional</x:v>
      </x:c>
      <x:c r="E7" s="16" t="str">
        <x:v>algoritmos</x:v>
      </x:c>
      <x:c r="F7" s="16" t="str">
        <x:v>Reorganizar e criar sequências, relacionando-as à noção de algoritmo.</x:v>
      </x:c>
      <x:c r="G7" s="16" t="n">
        <x:v>12</x:v>
      </x:c>
      <x:c r="H7" s="16" t="str">
        <x:v>https://portal.mec.gov.br/docman/fevereiro-2022-pdf/236791-anexo-ao-parecer-cneceb-n-2-2022-bncc-computacao/file</x:v>
      </x:c>
      <x:c r="I7" s="16" t="str">
        <x:v>carregada — resumo do código oficial</x:v>
      </x:c>
    </x:row>
    <x:row r="8" ht="52" customHeight="1">
      <x:c r="A8" s="16" t="str">
        <x:v>EF01CO04</x:v>
      </x:c>
      <x:c r="B8" s="16" t="str">
        <x:v>Ensino Fundamental</x:v>
      </x:c>
      <x:c r="C8" s="16" t="str">
        <x:v>1º ano</x:v>
      </x:c>
      <x:c r="D8" s="16" t="str">
        <x:v>Mundo Digital</x:v>
      </x:c>
      <x:c r="E8" s="16" t="str">
        <x:v>representação da informação</x:v>
      </x:c>
      <x:c r="F8" s="16" t="str">
        <x:v>Reconhecer que informações podem ser armazenadas, transmitidas e descritas em diferentes linguagens.</x:v>
      </x:c>
      <x:c r="G8" s="16" t="n">
        <x:v>12</x:v>
      </x:c>
      <x:c r="H8" s="16" t="str">
        <x:v>https://portal.mec.gov.br/docman/fevereiro-2022-pdf/236791-anexo-ao-parecer-cneceb-n-2-2022-bncc-computacao/file</x:v>
      </x:c>
      <x:c r="I8" s="16" t="str">
        <x:v>carregada — resumo do código oficial</x:v>
      </x:c>
    </x:row>
    <x:row r="9" ht="52" customHeight="1">
      <x:c r="A9" s="16" t="str">
        <x:v>EF01CO05</x:v>
      </x:c>
      <x:c r="B9" s="16" t="str">
        <x:v>Ensino Fundamental</x:v>
      </x:c>
      <x:c r="C9" s="16" t="str">
        <x:v>1º ano</x:v>
      </x:c>
      <x:c r="D9" s="16" t="str">
        <x:v>Mundo Digital</x:v>
      </x:c>
      <x:c r="E9" s="16" t="str">
        <x:v>codificação</x:v>
      </x:c>
      <x:c r="F9" s="16" t="str">
        <x:v>Representar informações usando códigos.</x:v>
      </x:c>
      <x:c r="G9" s="16" t="n">
        <x:v>12</x:v>
      </x:c>
      <x:c r="H9" s="16" t="str">
        <x:v>https://portal.mec.gov.br/docman/fevereiro-2022-pdf/236791-anexo-ao-parecer-cneceb-n-2-2022-bncc-computacao/file</x:v>
      </x:c>
      <x:c r="I9" s="16" t="str">
        <x:v>carregada — resumo do código oficial</x:v>
      </x:c>
    </x:row>
    <x:row r="10" ht="52" customHeight="1">
      <x:c r="A10" s="16" t="str">
        <x:v>EM13CO01</x:v>
      </x:c>
      <x:c r="B10" s="16" t="str">
        <x:v>Ensino Médio</x:v>
      </x:c>
      <x:c r="C10" s="16" t="str">
        <x:v>1ª–3ª séries</x:v>
      </x:c>
      <x:c r="D10" s="16" t="str">
        <x:v>Pensamento Computacional</x:v>
      </x:c>
      <x:c r="E10" s="16" t="str">
        <x:v>reúso</x:v>
      </x:c>
      <x:c r="F10" s="16" t="str">
        <x:v>Reutilizar partes de soluções existentes para desenvolver novas soluções.</x:v>
      </x:c>
      <x:c r="G10" s="16" t="n">
        <x:v>65</x:v>
      </x:c>
      <x:c r="H10" s="16" t="str">
        <x:v>https://portal.mec.gov.br/docman/fevereiro-2022-pdf/236791-anexo-ao-parecer-cneceb-n-2-2022-bncc-computacao/file</x:v>
      </x:c>
      <x:c r="I10" s="16" t="str">
        <x:v>carregada — resumo do código oficial</x:v>
      </x:c>
    </x:row>
    <x:row r="11" ht="52" customHeight="1">
      <x:c r="A11" s="16" t="str">
        <x:v>EM13CO02</x:v>
      </x:c>
      <x:c r="B11" s="16" t="str">
        <x:v>Ensino Médio</x:v>
      </x:c>
      <x:c r="C11" s="16" t="str">
        <x:v>1ª–3ª séries</x:v>
      </x:c>
      <x:c r="D11" s="16" t="str">
        <x:v>Pensamento Computacional</x:v>
      </x:c>
      <x:c r="E11" s="16" t="str">
        <x:v>abstração</x:v>
      </x:c>
      <x:c r="F11" s="16" t="str">
        <x:v>Explorar refinamentos e diferentes níveis de abstração na solução de problemas.</x:v>
      </x:c>
      <x:c r="G11" s="16" t="n">
        <x:v>65</x:v>
      </x:c>
      <x:c r="H11" s="16" t="str">
        <x:v>https://portal.mec.gov.br/docman/fevereiro-2022-pdf/236791-anexo-ao-parecer-cneceb-n-2-2022-bncc-computacao/file</x:v>
      </x:c>
      <x:c r="I11" s="16" t="str">
        <x:v>carregada — resumo do código oficial</x:v>
      </x:c>
    </x:row>
    <x:row r="12" ht="52" customHeight="1">
      <x:c r="A12" s="16" t="str">
        <x:v>EM13CO03</x:v>
      </x:c>
      <x:c r="B12" s="16" t="str">
        <x:v>Ensino Médio</x:v>
      </x:c>
      <x:c r="C12" s="16" t="str">
        <x:v>1ª–3ª séries</x:v>
      </x:c>
      <x:c r="D12" s="16" t="str">
        <x:v>Pensamento Computacional</x:v>
      </x:c>
      <x:c r="E12" s="16" t="str">
        <x:v>análise de algoritmos</x:v>
      </x:c>
      <x:c r="F12" s="16" t="str">
        <x:v>Analisar o consumo de recursos de algoritmos.</x:v>
      </x:c>
      <x:c r="G12" s="16" t="n">
        <x:v>65</x:v>
      </x:c>
      <x:c r="H12" s="16" t="str">
        <x:v>https://portal.mec.gov.br/docman/fevereiro-2022-pdf/236791-anexo-ao-parecer-cneceb-n-2-2022-bncc-computacao/file</x:v>
      </x:c>
      <x:c r="I12" s="16" t="str">
        <x:v>carregada — resumo do código oficial</x:v>
      </x:c>
    </x:row>
    <x:row r="13" ht="52" customHeight="1">
      <x:c r="A13" s="16" t="str">
        <x:v>EM13CO04</x:v>
      </x:c>
      <x:c r="B13" s="16" t="str">
        <x:v>Ensino Médio</x:v>
      </x:c>
      <x:c r="C13" s="16" t="str">
        <x:v>1ª–3ª séries</x:v>
      </x:c>
      <x:c r="D13" s="16" t="str">
        <x:v>Pensamento Computacional</x:v>
      </x:c>
      <x:c r="E13" s="16" t="str">
        <x:v>generalização</x:v>
      </x:c>
      <x:c r="F13" s="16" t="str">
        <x:v>Empregar metaprogramação e generalização na construção de soluções.</x:v>
      </x:c>
      <x:c r="G13" s="16" t="n">
        <x:v>65</x:v>
      </x:c>
      <x:c r="H13" s="16" t="str">
        <x:v>https://portal.mec.gov.br/docman/fevereiro-2022-pdf/236791-anexo-ao-parecer-cneceb-n-2-2022-bncc-computacao/file</x:v>
      </x:c>
      <x:c r="I13" s="16" t="str">
        <x:v>carregada — resumo do código oficial</x:v>
      </x:c>
    </x:row>
    <x:row r="14" ht="52" customHeight="1">
      <x:c r="A14" s="16" t="str">
        <x:v>EM13CO05</x:v>
      </x:c>
      <x:c r="B14" s="16" t="str">
        <x:v>Ensino Médio</x:v>
      </x:c>
      <x:c r="C14" s="16" t="str">
        <x:v>1ª–3ª séries</x:v>
      </x:c>
      <x:c r="D14" s="16" t="str">
        <x:v>Pensamento Computacional</x:v>
      </x:c>
      <x:c r="E14" s="16" t="str">
        <x:v>limites da computação</x:v>
      </x:c>
      <x:c r="F14" s="16" t="str">
        <x:v>Reconhecer limites da computação e da automação.</x:v>
      </x:c>
      <x:c r="G14" s="16" t="n">
        <x:v>65</x:v>
      </x:c>
      <x:c r="H14" s="16" t="str">
        <x:v>https://portal.mec.gov.br/docman/fevereiro-2022-pdf/236791-anexo-ao-parecer-cneceb-n-2-2022-bncc-computacao/file</x:v>
      </x:c>
      <x:c r="I14" s="16" t="str">
        <x:v>carregada — resumo do código oficial</x:v>
      </x:c>
    </x:row>
    <x:row r="15" ht="52" customHeight="1">
      <x:c r="A15" s="16" t="str">
        <x:v>EM13CO06</x:v>
      </x:c>
      <x:c r="B15" s="16" t="str">
        <x:v>Ensino Médio</x:v>
      </x:c>
      <x:c r="C15" s="16" t="str">
        <x:v>1ª–3ª séries</x:v>
      </x:c>
      <x:c r="D15" s="16" t="str">
        <x:v>Pensamento Computacional</x:v>
      </x:c>
      <x:c r="E15" s="16" t="str">
        <x:v>avaliação de software</x:v>
      </x:c>
      <x:c r="F15" s="16" t="str">
        <x:v>Avaliar software por meio de métricas e critérios.</x:v>
      </x:c>
      <x:c r="G15" s="16" t="n">
        <x:v>65</x:v>
      </x:c>
      <x:c r="H15" s="16" t="str">
        <x:v>https://portal.mec.gov.br/docman/fevereiro-2022-pdf/236791-anexo-ao-parecer-cneceb-n-2-2022-bncc-computacao/file</x:v>
      </x:c>
      <x:c r="I15" s="16" t="str">
        <x:v>carregada — resumo do código oficial</x:v>
      </x:c>
    </x:row>
    <x:row r="16" ht="52" customHeight="1">
      <x:c r="A16" s="16" t="str">
        <x:v>EM13CO07</x:v>
      </x:c>
      <x:c r="B16" s="16" t="str">
        <x:v>Ensino Médio</x:v>
      </x:c>
      <x:c r="C16" s="16" t="str">
        <x:v>1ª–3ª séries</x:v>
      </x:c>
      <x:c r="D16" s="16" t="str">
        <x:v>Mundo Digital</x:v>
      </x:c>
      <x:c r="E16" s="16" t="str">
        <x:v>redes</x:v>
      </x:c>
      <x:c r="F16" s="16" t="str">
        <x:v>Compreender tecnologias, equipamentos, protocolos e serviços de redes.</x:v>
      </x:c>
      <x:c r="G16" s="16" t="n">
        <x:v>67</x:v>
      </x:c>
      <x:c r="H16" s="16" t="str">
        <x:v>https://portal.mec.gov.br/docman/fevereiro-2022-pdf/236791-anexo-ao-parecer-cneceb-n-2-2022-bncc-computacao/file</x:v>
      </x:c>
      <x:c r="I16" s="16" t="str">
        <x:v>carregada — resumo do código oficial</x:v>
      </x:c>
    </x:row>
    <x:row r="17" ht="52" customHeight="1">
      <x:c r="A17" s="16" t="str">
        <x:v>EM13CO08</x:v>
      </x:c>
      <x:c r="B17" s="16" t="str">
        <x:v>Ensino Médio</x:v>
      </x:c>
      <x:c r="C17" s="16" t="str">
        <x:v>1ª–3ª séries</x:v>
      </x:c>
      <x:c r="D17" s="16" t="str">
        <x:v>Mundo Digital</x:v>
      </x:c>
      <x:c r="E17" s="16" t="str">
        <x:v>segurança e privacidade</x:v>
      </x:c>
      <x:c r="F17" s="16" t="str">
        <x:v>Analisar mudanças tecnológicas, segurança, privacidade, dados e riscos.</x:v>
      </x:c>
      <x:c r="G17" s="16" t="n">
        <x:v>67</x:v>
      </x:c>
      <x:c r="H17" s="16" t="str">
        <x:v>https://portal.mec.gov.br/docman/fevereiro-2022-pdf/236791-anexo-ao-parecer-cneceb-n-2-2022-bncc-computacao/file</x:v>
      </x:c>
      <x:c r="I17" s="16" t="str">
        <x:v>carregada — resumo do código oficial</x:v>
      </x:c>
    </x:row>
    <x:row r="18" ht="52" customHeight="1">
      <x:c r="A18" s="16" t="str">
        <x:v>EM13CO09</x:v>
      </x:c>
      <x:c r="B18" s="16" t="str">
        <x:v>Ensino Médio</x:v>
      </x:c>
      <x:c r="C18" s="16" t="str">
        <x:v>1ª–3ª séries</x:v>
      </x:c>
      <x:c r="D18" s="16" t="str">
        <x:v>Cultura Digital</x:v>
      </x:c>
      <x:c r="E18" s="16" t="str">
        <x:v>trabalho</x:v>
      </x:c>
      <x:c r="F18" s="16" t="str">
        <x:v>Analisar tecnologias digitais no mundo do trabalho.</x:v>
      </x:c>
      <x:c r="G18" s="16" t="n">
        <x:v>67</x:v>
      </x:c>
      <x:c r="H18" s="16" t="str">
        <x:v>https://portal.mec.gov.br/docman/fevereiro-2022-pdf/236791-anexo-ao-parecer-cneceb-n-2-2022-bncc-computacao/file</x:v>
      </x:c>
      <x:c r="I18" s="16" t="str">
        <x:v>carregada — resumo do código oficial</x:v>
      </x:c>
    </x:row>
    <x:row r="19" ht="52" customHeight="1">
      <x:c r="A19" s="16" t="str">
        <x:v>EM13CO10</x:v>
      </x:c>
      <x:c r="B19" s="16" t="str">
        <x:v>Ensino Médio</x:v>
      </x:c>
      <x:c r="C19" s="16" t="str">
        <x:v>1ª–3ª séries</x:v>
      </x:c>
      <x:c r="D19" s="16" t="str">
        <x:v>Mundo Digital</x:v>
      </x:c>
      <x:c r="E19" s="16" t="str">
        <x:v>inteligência artificial</x:v>
      </x:c>
      <x:c r="F19" s="16" t="str">
        <x:v>Compreender fundamentos, potencial, riscos e limites da inteligência artificial.</x:v>
      </x:c>
      <x:c r="G19" s="16" t="n">
        <x:v>67</x:v>
      </x:c>
      <x:c r="H19" s="16" t="str">
        <x:v>https://portal.mec.gov.br/docman/fevereiro-2022-pdf/236791-anexo-ao-parecer-cneceb-n-2-2022-bncc-computacao/file</x:v>
      </x:c>
      <x:c r="I19" s="16" t="str">
        <x:v>carregada — resumo do código oficial</x:v>
      </x:c>
    </x:row>
    <x:row r="20" ht="52" customHeight="1">
      <x:c r="A20" s="16" t="str">
        <x:v>EM13CO11</x:v>
      </x:c>
      <x:c r="B20" s="16" t="str">
        <x:v>Ensino Médio</x:v>
      </x:c>
      <x:c r="C20" s="16" t="str">
        <x:v>1ª–3ª séries</x:v>
      </x:c>
      <x:c r="D20" s="16" t="str">
        <x:v>Pensamento Computacional</x:v>
      </x:c>
      <x:c r="E20" s="16" t="str">
        <x:v>modelagem e simulação</x:v>
      </x:c>
      <x:c r="F20" s="16" t="str">
        <x:v>Usar modelos computacionais, simulação e previsão para investigar fenômenos.</x:v>
      </x:c>
      <x:c r="G20" s="16" t="n">
        <x:v>67</x:v>
      </x:c>
      <x:c r="H20" s="16" t="str">
        <x:v>https://portal.mec.gov.br/docman/fevereiro-2022-pdf/236791-anexo-ao-parecer-cneceb-n-2-2022-bncc-computacao/file</x:v>
      </x:c>
      <x:c r="I20" s="16" t="str">
        <x:v>carregada — resumo do código oficial</x:v>
      </x:c>
    </x:row>
    <x:row r="21" ht="52" customHeight="1">
      <x:c r="A21" s="16" t="str">
        <x:v>EM13CO12</x:v>
      </x:c>
      <x:c r="B21" s="16" t="str">
        <x:v>Ensino Médio</x:v>
      </x:c>
      <x:c r="C21" s="16" t="str">
        <x:v>1ª–3ª séries</x:v>
      </x:c>
      <x:c r="D21" s="16" t="str">
        <x:v>Mundo Digital</x:v>
      </x:c>
      <x:c r="E21" s="16" t="str">
        <x:v>ciência de dados</x:v>
      </x:c>
      <x:c r="F21" s="16" t="str">
        <x:v>Produzir, analisar, gerenciar e compartilhar informações a partir de dados.</x:v>
      </x:c>
      <x:c r="G21" s="16" t="n">
        <x:v>69</x:v>
      </x:c>
      <x:c r="H21" s="16" t="str">
        <x:v>https://portal.mec.gov.br/docman/fevereiro-2022-pdf/236791-anexo-ao-parecer-cneceb-n-2-2022-bncc-computacao/file</x:v>
      </x:c>
      <x:c r="I21" s="16" t="str">
        <x:v>carregada — resumo do código oficial</x:v>
      </x:c>
    </x:row>
    <x:row r="22" ht="52" customHeight="1">
      <x:c r="A22" s="16" t="str">
        <x:v>EM13CO13</x:v>
      </x:c>
      <x:c r="B22" s="16" t="str">
        <x:v>Ensino Médio</x:v>
      </x:c>
      <x:c r="C22" s="16" t="str">
        <x:v>1ª–3ª séries</x:v>
      </x:c>
      <x:c r="D22" s="16" t="str">
        <x:v>Mundo Digital</x:v>
      </x:c>
      <x:c r="E22" s="16" t="str">
        <x:v>dados e pesquisa</x:v>
      </x:c>
      <x:c r="F22" s="16" t="str">
        <x:v>Utilizar representações e consultas de dados em pesquisa científica.</x:v>
      </x:c>
      <x:c r="G22" s="16" t="n">
        <x:v>69</x:v>
      </x:c>
      <x:c r="H22" s="16" t="str">
        <x:v>https://portal.mec.gov.br/docman/fevereiro-2022-pdf/236791-anexo-ao-parecer-cneceb-n-2-2022-bncc-computacao/file</x:v>
      </x:c>
      <x:c r="I22" s="16" t="str">
        <x:v>carregada — resumo do código oficial</x:v>
      </x:c>
    </x:row>
    <x:row r="23" ht="52" customHeight="1">
      <x:c r="A23" s="16" t="str">
        <x:v>EM13CO14</x:v>
      </x:c>
      <x:c r="B23" s="16" t="str">
        <x:v>Ensino Médio</x:v>
      </x:c>
      <x:c r="C23" s="16" t="str">
        <x:v>1ª–3ª séries</x:v>
      </x:c>
      <x:c r="D23" s="16" t="str">
        <x:v>Cultura Digital</x:v>
      </x:c>
      <x:c r="E23" s="16" t="str">
        <x:v>informação confiável</x:v>
      </x:c>
      <x:c r="F23" s="16" t="str">
        <x:v>Avaliar a confiabilidade de informações encontradas online.</x:v>
      </x:c>
      <x:c r="G23" s="16" t="n">
        <x:v>69</x:v>
      </x:c>
      <x:c r="H23" s="16" t="str">
        <x:v>https://portal.mec.gov.br/docman/fevereiro-2022-pdf/236791-anexo-ao-parecer-cneceb-n-2-2022-bncc-computacao/file</x:v>
      </x:c>
      <x:c r="I23" s="16" t="str">
        <x:v>carregada — resumo do código oficial</x:v>
      </x:c>
    </x:row>
    <x:row r="24" ht="52" customHeight="1">
      <x:c r="A24" s="16" t="str">
        <x:v>EM13CO15</x:v>
      </x:c>
      <x:c r="B24" s="16" t="str">
        <x:v>Ensino Médio</x:v>
      </x:c>
      <x:c r="C24" s="16" t="str">
        <x:v>1ª–3ª séries</x:v>
      </x:c>
      <x:c r="D24" s="16" t="str">
        <x:v>Cultura Digital</x:v>
      </x:c>
      <x:c r="E24" s="16" t="str">
        <x:v>experiência do usuário</x:v>
      </x:c>
      <x:c r="F24" s="16" t="str">
        <x:v>Analisar a interação entre usuário e artefato digital.</x:v>
      </x:c>
      <x:c r="G24" s="16" t="n">
        <x:v>69</x:v>
      </x:c>
      <x:c r="H24" s="16" t="str">
        <x:v>https://portal.mec.gov.br/docman/fevereiro-2022-pdf/236791-anexo-ao-parecer-cneceb-n-2-2022-bncc-computacao/file</x:v>
      </x:c>
      <x:c r="I24" s="16" t="str">
        <x:v>carregada — resumo do código oficial</x:v>
      </x:c>
    </x:row>
    <x:row r="25" ht="52" customHeight="1">
      <x:c r="A25" s="16" t="str">
        <x:v>EM13CO16</x:v>
      </x:c>
      <x:c r="B25" s="16" t="str">
        <x:v>Ensino Médio</x:v>
      </x:c>
      <x:c r="C25" s="16" t="str">
        <x:v>1ª–3ª séries</x:v>
      </x:c>
      <x:c r="D25" s="16" t="str">
        <x:v>Pensamento Computacional</x:v>
      </x:c>
      <x:c r="E25" s="16" t="str">
        <x:v>robótica</x:v>
      </x:c>
      <x:c r="F25" s="16" t="str">
        <x:v>Desenvolver projetos de robótica.</x:v>
      </x:c>
      <x:c r="G25" s="16" t="n">
        <x:v>69</x:v>
      </x:c>
      <x:c r="H25" s="16" t="str">
        <x:v>https://portal.mec.gov.br/docman/fevereiro-2022-pdf/236791-anexo-ao-parecer-cneceb-n-2-2022-bncc-computacao/file</x:v>
      </x:c>
      <x:c r="I25" s="16" t="str">
        <x:v>carregada — resumo do código oficial</x:v>
      </x:c>
    </x:row>
    <x:row r="26" ht="52" customHeight="1">
      <x:c r="A26" s="16" t="str">
        <x:v>EM13CO17</x:v>
      </x:c>
      <x:c r="B26" s="16" t="str">
        <x:v>Ensino Médio</x:v>
      </x:c>
      <x:c r="C26" s="16" t="str">
        <x:v>1ª–3ª séries</x:v>
      </x:c>
      <x:c r="D26" s="16" t="str">
        <x:v>Cultura Digital</x:v>
      </x:c>
      <x:c r="E26" s="16" t="str">
        <x:v>colaboração em rede</x:v>
      </x:c>
      <x:c r="F26" s="16" t="str">
        <x:v>Participar de redes de colaboração virtual de modo seguro, legal e ético.</x:v>
      </x:c>
      <x:c r="G26" s="16" t="n">
        <x:v>69</x:v>
      </x:c>
      <x:c r="H26" s="16" t="str">
        <x:v>https://portal.mec.gov.br/docman/fevereiro-2022-pdf/236791-anexo-ao-parecer-cneceb-n-2-2022-bncc-computacao/file</x:v>
      </x:c>
      <x:c r="I26" s="16" t="str">
        <x:v>carregada — resumo do código oficial</x:v>
      </x:c>
    </x:row>
    <x:row r="27" ht="52" customHeight="1">
      <x:c r="A27" s="16" t="str">
        <x:v>EM13CO18</x:v>
      </x:c>
      <x:c r="B27" s="16" t="str">
        <x:v>Ensino Médio</x:v>
      </x:c>
      <x:c r="C27" s="16" t="str">
        <x:v>1ª–3ª séries</x:v>
      </x:c>
      <x:c r="D27" s="16" t="str">
        <x:v>Cultura Digital</x:v>
      </x:c>
      <x:c r="E27" s="16" t="str">
        <x:v>gestão de projetos</x:v>
      </x:c>
      <x:c r="F27" s="16" t="str">
        <x:v>Planejar e gerenciar projetos colaborativamente com recursos digitais.</x:v>
      </x:c>
      <x:c r="G27" s="16" t="n">
        <x:v>69</x:v>
      </x:c>
      <x:c r="H27" s="16" t="str">
        <x:v>https://portal.mec.gov.br/docman/fevereiro-2022-pdf/236791-anexo-ao-parecer-cneceb-n-2-2022-bncc-computacao/file</x:v>
      </x:c>
      <x:c r="I27" s="16" t="str">
        <x:v>carregada — resumo do código oficial</x:v>
      </x:c>
    </x:row>
    <x:row r="28" ht="52" customHeight="1">
      <x:c r="A28" s="16" t="str">
        <x:v>EM13CO19</x:v>
      </x:c>
      <x:c r="B28" s="16" t="str">
        <x:v>Ensino Médio</x:v>
      </x:c>
      <x:c r="C28" s="16" t="str">
        <x:v>1ª–3ª séries</x:v>
      </x:c>
      <x:c r="D28" s="16" t="str">
        <x:v>Cultura Digital</x:v>
      </x:c>
      <x:c r="E28" s="16" t="str">
        <x:v>comunicação e negociação</x:v>
      </x:c>
      <x:c r="F28" s="16" t="str">
        <x:v>Apresentar, argumentar e negociar propostas, produtos ou serviços em meios digitais.</x:v>
      </x:c>
      <x:c r="G28" s="16" t="n">
        <x:v>71</x:v>
      </x:c>
      <x:c r="H28" s="16" t="str">
        <x:v>https://portal.mec.gov.br/docman/fevereiro-2022-pdf/236791-anexo-ao-parecer-cneceb-n-2-2022-bncc-computacao/file</x:v>
      </x:c>
      <x:c r="I28" s="16" t="str">
        <x:v>carregada — resumo do código oficial</x:v>
      </x:c>
    </x:row>
    <x:row r="29" ht="52" customHeight="1">
      <x:c r="A29" s="16" t="str">
        <x:v>EM13CO20</x:v>
      </x:c>
      <x:c r="B29" s="16" t="str">
        <x:v>Ensino Médio</x:v>
      </x:c>
      <x:c r="C29" s="16" t="str">
        <x:v>1ª–3ª séries</x:v>
      </x:c>
      <x:c r="D29" s="16" t="str">
        <x:v>Cultura Digital</x:v>
      </x:c>
      <x:c r="E29" s="16" t="str">
        <x:v>autoria digital</x:v>
      </x:c>
      <x:c r="F29" s="16" t="str">
        <x:v>Criar, publicar e compartilhar conteúdo, avaliando consequências.</x:v>
      </x:c>
      <x:c r="G29" s="16" t="n">
        <x:v>71</x:v>
      </x:c>
      <x:c r="H29" s="16" t="str">
        <x:v>https://portal.mec.gov.br/docman/fevereiro-2022-pdf/236791-anexo-ao-parecer-cneceb-n-2-2022-bncc-computacao/file</x:v>
      </x:c>
      <x:c r="I29" s="16" t="str">
        <x:v>carregada — resumo do código oficial</x:v>
      </x:c>
    </x:row>
    <x:row r="30" ht="52" customHeight="1">
      <x:c r="A30" s="16" t="str">
        <x:v>EM13CO21</x:v>
      </x:c>
      <x:c r="B30" s="16" t="str">
        <x:v>Ensino Médio</x:v>
      </x:c>
      <x:c r="C30" s="16" t="str">
        <x:v>1ª–3ª séries</x:v>
      </x:c>
      <x:c r="D30" s="16" t="str">
        <x:v>Cultura Digital</x:v>
      </x:c>
      <x:c r="E30" s="16" t="str">
        <x:v>comunicação multimodal</x:v>
      </x:c>
      <x:c r="F30" s="16" t="str">
        <x:v>Comunicar ideias complexas por meio de objetos digitais.</x:v>
      </x:c>
      <x:c r="G30" s="16" t="n">
        <x:v>71</x:v>
      </x:c>
      <x:c r="H30" s="16" t="str">
        <x:v>https://portal.mec.gov.br/docman/fevereiro-2022-pdf/236791-anexo-ao-parecer-cneceb-n-2-2022-bncc-computacao/file</x:v>
      </x:c>
      <x:c r="I30" s="16" t="str">
        <x:v>carregada — resumo do código oficial</x:v>
      </x:c>
    </x:row>
    <x:row r="31" ht="52" customHeight="1">
      <x:c r="A31" s="16" t="str">
        <x:v>EM13CO22</x:v>
      </x:c>
      <x:c r="B31" s="16" t="str">
        <x:v>Ensino Médio</x:v>
      </x:c>
      <x:c r="C31" s="16" t="str">
        <x:v>1ª–3ª séries</x:v>
      </x:c>
      <x:c r="D31" s="16" t="str">
        <x:v>Cultura Digital</x:v>
      </x:c>
      <x:c r="E31" s="16" t="str">
        <x:v>multimídia</x:v>
      </x:c>
      <x:c r="F31" s="16" t="str">
        <x:v>Produzir e publicar conteúdo multimídia.</x:v>
      </x:c>
      <x:c r="G31" s="16" t="n">
        <x:v>71</x:v>
      </x:c>
      <x:c r="H31" s="16" t="str">
        <x:v>https://portal.mec.gov.br/docman/fevereiro-2022-pdf/236791-anexo-ao-parecer-cneceb-n-2-2022-bncc-computacao/file</x:v>
      </x:c>
      <x:c r="I31" s="16" t="str">
        <x:v>carregada — resumo do código oficial</x:v>
      </x:c>
    </x:row>
    <x:row r="32" ht="52" customHeight="1">
      <x:c r="A32" s="16" t="str">
        <x:v>EM13CO23</x:v>
      </x:c>
      <x:c r="B32" s="16" t="str">
        <x:v>Ensino Médio</x:v>
      </x:c>
      <x:c r="C32" s="16" t="str">
        <x:v>1ª–3ª séries</x:v>
      </x:c>
      <x:c r="D32" s="16" t="str">
        <x:v>Cultura Digital</x:v>
      </x:c>
      <x:c r="E32" s="16" t="str">
        <x:v>comunidades virtuais</x:v>
      </x:c>
      <x:c r="F32" s="16" t="str">
        <x:v>Analisar criticamente comunidades virtuais e seus impactos sociais.</x:v>
      </x:c>
      <x:c r="G32" s="16" t="n">
        <x:v>73</x:v>
      </x:c>
      <x:c r="H32" s="16" t="str">
        <x:v>https://portal.mec.gov.br/docman/fevereiro-2022-pdf/236791-anexo-ao-parecer-cneceb-n-2-2022-bncc-computacao/file</x:v>
      </x:c>
      <x:c r="I32" s="16" t="str">
        <x:v>carregada — resumo do código oficial</x:v>
      </x:c>
    </x:row>
    <x:row r="33" ht="52" customHeight="1">
      <x:c r="A33" s="16" t="str">
        <x:v>EM13CO24</x:v>
      </x:c>
      <x:c r="B33" s="16" t="str">
        <x:v>Ensino Médio</x:v>
      </x:c>
      <x:c r="C33" s="16" t="str">
        <x:v>1ª–3ª séries</x:v>
      </x:c>
      <x:c r="D33" s="16" t="str">
        <x:v>Cultura Digital</x:v>
      </x:c>
      <x:c r="E33" s="16" t="str">
        <x:v>saúde digital</x:v>
      </x:c>
      <x:c r="F33" s="16" t="str">
        <x:v>Analisar impactos de redes sociais e computação sobre a saúde física e mental.</x:v>
      </x:c>
      <x:c r="G33" s="16" t="n">
        <x:v>73</x:v>
      </x:c>
      <x:c r="H33" s="16" t="str">
        <x:v>https://portal.mec.gov.br/docman/fevereiro-2022-pdf/236791-anexo-ao-parecer-cneceb-n-2-2022-bncc-computacao/file</x:v>
      </x:c>
      <x:c r="I33" s="16" t="str">
        <x:v>carregada — resumo do código oficial</x:v>
      </x:c>
    </x:row>
    <x:row r="34" ht="52" customHeight="1">
      <x:c r="A34" s="16" t="str">
        <x:v>EM13CO25</x:v>
      </x:c>
      <x:c r="B34" s="16" t="str">
        <x:v>Ensino Médio</x:v>
      </x:c>
      <x:c r="C34" s="16" t="str">
        <x:v>1ª–3ª séries</x:v>
      </x:c>
      <x:c r="D34" s="16" t="str">
        <x:v>Cultura Digital</x:v>
      </x:c>
      <x:c r="E34" s="16" t="str">
        <x:v>convivência digital</x:v>
      </x:c>
      <x:c r="F34" s="16" t="str">
        <x:v>Dialogar com segurança, respeitar diferenças e denunciar abusos.</x:v>
      </x:c>
      <x:c r="G34" s="16" t="n">
        <x:v>73</x:v>
      </x:c>
      <x:c r="H34" s="16" t="str">
        <x:v>https://portal.mec.gov.br/docman/fevereiro-2022-pdf/236791-anexo-ao-parecer-cneceb-n-2-2022-bncc-computacao/file</x:v>
      </x:c>
      <x:c r="I34" s="16" t="str">
        <x:v>carregada — resumo do código oficial</x:v>
      </x:c>
    </x:row>
    <x:row r="35" ht="52" customHeight="1">
      <x:c r="A35" s="16" t="str">
        <x:v>EM13CO26</x:v>
      </x:c>
      <x:c r="B35" s="16" t="str">
        <x:v>Ensino Médio</x:v>
      </x:c>
      <x:c r="C35" s="16" t="str">
        <x:v>1ª–3ª séries</x:v>
      </x:c>
      <x:c r="D35" s="16" t="str">
        <x:v>Cultura Digital</x:v>
      </x:c>
      <x:c r="E35" s="16" t="str">
        <x:v>direito digital</x:v>
      </x:c>
      <x:c r="F35" s="16" t="str">
        <x:v>Aplicar conceitos de direito digital em práticas e artefatos.</x:v>
      </x:c>
      <x:c r="G35" s="16" t="n">
        <x:v>73</x:v>
      </x:c>
      <x:c r="H35" s="16" t="str">
        <x:v>https://portal.mec.gov.br/docman/fevereiro-2022-pdf/236791-anexo-ao-parecer-cneceb-n-2-2022-bncc-computacao/file</x:v>
      </x:c>
      <x:c r="I35" s="16" t="str">
        <x:v>carregada — resumo do código oficial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0" hidden="0" customWidth="1"/>
    <x:col min="5" max="5" width="16" hidden="0" customWidth="1"/>
    <x:col min="6" max="6" width="22" hidden="0" customWidth="1"/>
    <x:col min="7" max="7" width="16" hidden="0" customWidth="1"/>
    <x:col min="8" max="8" width="58" hidden="0" customWidth="1"/>
    <x:col min="9" max="9" width="12" hidden="0" customWidth="1"/>
    <x:col min="10" max="10" width="58" hidden="0" customWidth="1"/>
    <x:col min="11" max="11" width="54" hidden="0" customWidth="1"/>
    <x:col min="12" max="12" width="21" hidden="0" customWidth="1"/>
    <x:col min="13" max="13" width="25" hidden="0" customWidth="1"/>
    <x:col min="14" max="14" width="24" hidden="0" customWidth="1"/>
    <x:col min="15" max="15" width="16" hidden="0" customWidth="1"/>
    <x:col min="16" max="16" width="12" hidden="0" customWidth="1"/>
    <x:col min="17" max="17" width="18" hidden="0" customWidth="1"/>
    <x:col min="18" max="18" width="38" hidden="0" customWidth="1"/>
    <x:col min="19" max="19" width="46" hidden="0" customWidth="1"/>
    <x:col min="20" max="20" width="24" hidden="0" customWidth="1"/>
    <x:col min="21" max="21" width="24" hidden="0" customWidth="1"/>
    <x:col min="22" max="22" width="24" hidden="0" customWidth="1"/>
    <x:col min="23" max="23" width="14" hidden="0" customWidth="1"/>
    <x:col min="24" max="24" width="18" hidden="0" customWidth="1"/>
    <x:col min="25" max="25" width="14" hidden="0" customWidth="1"/>
    <x:col min="26" max="26" width="12" hidden="0" customWidth="1"/>
    <x:col min="27" max="27" width="42" hidden="0" customWidth="1"/>
    <x:col min="28" max="28" width="14" hidden="0" customWidth="1"/>
    <x:col min="29" max="29" width="16" hidden="0" customWidth="1"/>
    <x:col min="30" max="30" width="16" hidden="0" customWidth="1"/>
  </x:cols>
  <x:sheetData>
    <x:row r="1" ht="30" customHeight="1">
      <x:c r="A1" s="15" t="str">
        <x:v>skill_id</x:v>
      </x:c>
      <x:c r="B1" s="15" t="str">
        <x:v>document_id</x:v>
      </x:c>
      <x:c r="C1" s="15" t="str">
        <x:v>pais</x:v>
      </x:c>
      <x:c r="D1" s="15" t="str">
        <x:v>etapa</x:v>
      </x:c>
      <x:c r="E1" s="15" t="str">
        <x:v>ano_faixa</x:v>
      </x:c>
      <x:c r="F1" s="15" t="str">
        <x:v>area</x:v>
      </x:c>
      <x:c r="G1" s="15" t="str">
        <x:v>codigo_local</x:v>
      </x:c>
      <x:c r="H1" s="15" t="str">
        <x:v>texto_original</x:v>
      </x:c>
      <x:c r="I1" s="15" t="str">
        <x:v>idioma</x:v>
      </x:c>
      <x:c r="J1" s="15" t="str">
        <x:v>traducao_pt</x:v>
      </x:c>
      <x:c r="K1" s="15" t="str">
        <x:v>sintese_pesquisadora</x:v>
      </x:c>
      <x:c r="L1" s="15" t="str">
        <x:v>verbo</x:v>
      </x:c>
      <x:c r="M1" s="15" t="str">
        <x:v>objeto</x:v>
      </x:c>
      <x:c r="N1" s="15" t="str">
        <x:v>contexto</x:v>
      </x:c>
      <x:c r="O1" s="15" t="str">
        <x:v>obrigatoriedade</x:v>
      </x:c>
      <x:c r="P1" s="15" t="str">
        <x:v>pagina</x:v>
      </x:c>
      <x:c r="Q1" s="15" t="str">
        <x:v>secao</x:v>
      </x:c>
      <x:c r="R1" s="15" t="str">
        <x:v>evidencia_curta</x:v>
      </x:c>
      <x:c r="S1" s="15" t="str">
        <x:v>url_evidencia</x:v>
      </x:c>
      <x:c r="T1" s="15" t="str">
        <x:v>eixo_comp_primario</x:v>
      </x:c>
      <x:c r="U1" s="15" t="str">
        <x:v>eixo_comp_secundario</x:v>
      </x:c>
      <x:c r="V1" s="15" t="str">
        <x:v>dominio_unesco_primario</x:v>
      </x:c>
      <x:c r="W1" s="15" t="str">
        <x:v>topico_unesco</x:v>
      </x:c>
      <x:c r="X1" s="15" t="str">
        <x:v>status_revisao</x:v>
      </x:c>
      <x:c r="Y1" s="15" t="str">
        <x:v>revisor</x:v>
      </x:c>
      <x:c r="Z1" s="15" t="str">
        <x:v>confianca</x:v>
      </x:c>
      <x:c r="AA1" s="15" t="str">
        <x:v>observacoes</x:v>
      </x:c>
      <x:c r="AB1" s="15" t="str">
        <x:v>n_map_unesco</x:v>
      </x:c>
      <x:c r="AC1" s="15" t="str">
        <x:v>n_map_bncc_geral</x:v>
      </x:c>
      <x:c r="AD1" s="15" t="str">
        <x:v>n_map_bncc_comp</x:v>
      </x:c>
    </x:row>
    <x:row r="2" ht="58" customHeight="1">
      <x:c r="A2" s="16" t="str">
        <x:v>CL-001</x:v>
      </x:c>
      <x:c r="B2" s="16" t="str">
        <x:v>DOC-CL-PC-34</x:v>
      </x:c>
      <x:c r="C2" s="16" t="str">
        <x:v>Chile</x:v>
      </x:c>
      <x:c r="D2" s="16" t="str">
        <x:v>secundário superior</x:v>
      </x:c>
      <x:c r="E2" s="16" t="str">
        <x:v>3º/4º medio</x:v>
      </x:c>
      <x:c r="F2" s="16" t="str">
        <x:v>Matemática / Computação</x:v>
      </x:c>
      <x:c r="G2" s="16" t="str">
        <x:v>OA-PC-EX01</x:v>
      </x:c>
      <x:c r="H2" s="16" t="str">
        <x:v>Aplicar conceptos de la Ciencia de la Computación para crear código.</x:v>
      </x:c>
      <x:c r="I2" s="16" t="str">
        <x:v>espanhol</x:v>
      </x:c>
      <x:c r="J2" s="16" t="str">
        <x:v>Aplicar conceitos de Ciência da Computação para criar código.</x:v>
      </x:c>
      <x:c r="K2" s="16" t="str">
        <x:v>Criar soluções computacionais usando abstração, lógica e generalização.</x:v>
      </x:c>
      <x:c r="L2" s="16" t="str">
        <x:v>aplicar/criar</x:v>
      </x:c>
      <x:c r="M2" s="16" t="str">
        <x:v>solução computacional</x:v>
      </x:c>
      <x:c r="N2" s="16" t="str">
        <x:v>problemas e projetos</x:v>
      </x:c>
      <x:c r="O2" s="16" t="str">
        <x:v>curricular</x:v>
      </x:c>
      <x:c r="P2" s="16" t="str">
        <x:v>a confirmar</x:v>
      </x:c>
      <x:c r="Q2" s="16" t="str">
        <x:v>programa</x:v>
      </x:c>
      <x:c r="R2" s="16" t="str">
        <x:v>Conceitos de computação aplicados à criação de código.</x:v>
      </x:c>
      <x:c r="S2" s="16" t="str">
        <x:v>https://www.curriculumnacional.cl/portal/Educacion-General/Matematica/Pensamiento-computacional-y-programacion/</x:v>
      </x:c>
      <x:c r="T2" s="16" t="str">
        <x:v>Pensamento Computacional</x:v>
      </x:c>
      <x:c r="U2" s="16" t="str">
        <x:v>Mundo Digital</x:v>
      </x:c>
      <x:c r="V2" s="16" t="str">
        <x:v>Cognitivo</x:v>
      </x:c>
      <x:c r="W2" s="16" t="n">
        <x:v>1</x:v>
      </x:c>
      <x:c r="X2" s="16" t="str">
        <x:v>revisão pendente</x:v>
      </x:c>
      <x:c r="Y2" s="16" t="str"/>
      <x:c r="Z2" s="19" t="n">
        <x:v>0.7</x:v>
      </x:c>
      <x:c r="AA2" s="16" t="str">
        <x:v>registro demonstrativo</x:v>
      </x:c>
      <x:c r="AB2" s="16" t="n">
        <x:f>COUNTIFS(MAPEAMENTOS!$B$2:$B$1000,A2,MAPEAMENTOS!$C$2:$C$1000,"UNESCO_ECG")</x:f>
        <x:v>1</x:v>
      </x:c>
      <x:c r="AC2" s="16" t="n">
        <x:f>COUNTIFS(MAPEAMENTOS!$B$2:$B$1000,A2,MAPEAMENTOS!$C$2:$C$1000,"BNCC_GERAL")</x:f>
        <x:v>1</x:v>
      </x:c>
      <x:c r="AD2" s="16" t="n">
        <x:f>COUNTIFS(MAPEAMENTOS!$B$2:$B$1000,A2,MAPEAMENTOS!$C$2:$C$1000,"BNCC_COMPUTACAO")</x:f>
        <x:v>1</x:v>
      </x:c>
    </x:row>
    <x:row r="3" ht="58" customHeight="1">
      <x:c r="A3" s="16" t="str">
        <x:v>EE-001</x:v>
      </x:c>
      <x:c r="B3" s="16" t="str">
        <x:v>DOC-EE-INF</x:v>
      </x:c>
      <x:c r="C3" s="16" t="str">
        <x:v>Estônia</x:v>
      </x:c>
      <x:c r="D3" s="16" t="str">
        <x:v>educação básica</x:v>
      </x:c>
      <x:c r="E3" s="16" t="str">
        <x:v>estágios II–III</x:v>
      </x:c>
      <x:c r="F3" s="16" t="str">
        <x:v>Informática</x:v>
      </x:c>
      <x:c r="G3" s="16" t="str">
        <x:v>INF-EX01</x:v>
      </x:c>
      <x:c r="H3" s="16" t="str">
        <x:v>Uses ICT to search, process and analyse information and create documents and presentations.</x:v>
      </x:c>
      <x:c r="I3" s="16" t="str">
        <x:v>inglês</x:v>
      </x:c>
      <x:c r="J3" s="16" t="str">
        <x:v>Usa TIC para buscar, processar e analisar informação e criar documentos e apresentações.</x:v>
      </x:c>
      <x:c r="K3" s="16" t="str">
        <x:v>Usar tecnologias digitais para pesquisa, análise e comunicação.</x:v>
      </x:c>
      <x:c r="L3" s="16" t="str">
        <x:v>usar/analisar/criar</x:v>
      </x:c>
      <x:c r="M3" s="16" t="str">
        <x:v>informação e conteúdo</x:v>
      </x:c>
      <x:c r="N3" s="16" t="str">
        <x:v>pesquisa e comunicação</x:v>
      </x:c>
      <x:c r="O3" s="16" t="str">
        <x:v>anexo curricular</x:v>
      </x:c>
      <x:c r="P3" s="16" t="str">
        <x:v>a confirmar</x:v>
      </x:c>
      <x:c r="Q3" s="16" t="str">
        <x:v>learning outcomes</x:v>
      </x:c>
      <x:c r="R3" s="16" t="str">
        <x:v>search, process and analyse information</x:v>
      </x:c>
      <x:c r="S3" s="16" t="str">
        <x:v>https://www.hm.ee/sites/default/files/documents/2022-10/est_basic_school_nat_cur_2014_appendix_10_final.pdf</x:v>
      </x:c>
      <x:c r="T3" s="16" t="str">
        <x:v>Cultura Digital</x:v>
      </x:c>
      <x:c r="U3" s="16" t="str">
        <x:v>Mundo Digital</x:v>
      </x:c>
      <x:c r="V3" s="16" t="str">
        <x:v>Cognitivo</x:v>
      </x:c>
      <x:c r="W3" s="16" t="n">
        <x:v>2</x:v>
      </x:c>
      <x:c r="X3" s="16" t="str">
        <x:v>revisão pendente</x:v>
      </x:c>
      <x:c r="Y3" s="16" t="str"/>
      <x:c r="Z3" s="19" t="n">
        <x:v>0.75</x:v>
      </x:c>
      <x:c r="AA3" s="16" t="str">
        <x:v>desdobrar em habilidades atômicas na carga integral</x:v>
      </x:c>
      <x:c r="AB3" s="16" t="n">
        <x:f>COUNTIFS(MAPEAMENTOS!$B$2:$B$1000,A3,MAPEAMENTOS!$C$2:$C$1000,"UNESCO_ECG")</x:f>
        <x:v>0</x:v>
      </x:c>
      <x:c r="AC3" s="16" t="n">
        <x:f>COUNTIFS(MAPEAMENTOS!$B$2:$B$1000,A3,MAPEAMENTOS!$C$2:$C$1000,"BNCC_GERAL")</x:f>
        <x:v>0</x:v>
      </x:c>
      <x:c r="AD3" s="16" t="n">
        <x:f>COUNTIFS(MAPEAMENTOS!$B$2:$B$1000,A3,MAPEAMENTOS!$C$2:$C$1000,"BNCC_COMPUTACAO")</x:f>
        <x:v>0</x:v>
      </x:c>
    </x:row>
    <x:row r="4" ht="58" customHeight="1">
      <x:c r="A4" s="16" t="str">
        <x:v>EE-002</x:v>
      </x:c>
      <x:c r="B4" s="16" t="str">
        <x:v>DOC-EE-INF</x:v>
      </x:c>
      <x:c r="C4" s="16" t="str">
        <x:v>Estônia</x:v>
      </x:c>
      <x:c r="D4" s="16" t="str">
        <x:v>educação básica</x:v>
      </x:c>
      <x:c r="E4" s="16" t="str">
        <x:v>estágios II–III</x:v>
      </x:c>
      <x:c r="F4" s="16" t="str">
        <x:v>Informática</x:v>
      </x:c>
      <x:c r="G4" s="16" t="str">
        <x:v>INF-EX02</x:v>
      </x:c>
      <x:c r="H4" s="16" t="str">
        <x:v>Avoids threats to health, security and personal data in a digital environment.</x:v>
      </x:c>
      <x:c r="I4" s="16" t="str">
        <x:v>inglês</x:v>
      </x:c>
      <x:c r="J4" s="16" t="str">
        <x:v>Evita ameaças à saúde, segurança e aos dados pessoais no ambiente digital.</x:v>
      </x:c>
      <x:c r="K4" s="16" t="str">
        <x:v>Agir com segurança, privacidade e autocuidado no ambiente digital.</x:v>
      </x:c>
      <x:c r="L4" s="16" t="str">
        <x:v>evitar/proteger</x:v>
      </x:c>
      <x:c r="M4" s="16" t="str">
        <x:v>saúde, segurança e dados</x:v>
      </x:c>
      <x:c r="N4" s="16" t="str">
        <x:v>ambiente digital</x:v>
      </x:c>
      <x:c r="O4" s="16" t="str">
        <x:v>anexo curricular</x:v>
      </x:c>
      <x:c r="P4" s="16" t="str">
        <x:v>a confirmar</x:v>
      </x:c>
      <x:c r="Q4" s="16" t="str">
        <x:v>learning outcomes</x:v>
      </x:c>
      <x:c r="R4" s="16" t="str">
        <x:v>health, security and personal data</x:v>
      </x:c>
      <x:c r="S4" s="16" t="str">
        <x:v>https://www.hm.ee/sites/default/files/documents/2022-10/est_basic_school_nat_cur_2014_appendix_10_final.pdf</x:v>
      </x:c>
      <x:c r="T4" s="16" t="str">
        <x:v>Cultura Digital</x:v>
      </x:c>
      <x:c r="U4" s="16" t="str">
        <x:v>Mundo Digital</x:v>
      </x:c>
      <x:c r="V4" s="16" t="str">
        <x:v>Comportamental</x:v>
      </x:c>
      <x:c r="W4" s="16" t="n">
        <x:v>8</x:v>
      </x:c>
      <x:c r="X4" s="16" t="str">
        <x:v>revisão pendente</x:v>
      </x:c>
      <x:c r="Y4" s="16" t="str"/>
      <x:c r="Z4" s="19" t="n">
        <x:v>0.8</x:v>
      </x:c>
      <x:c r="AA4" s="16" t="str">
        <x:v>registro demonstrativo</x:v>
      </x:c>
      <x:c r="AB4" s="16" t="n">
        <x:f>COUNTIFS(MAPEAMENTOS!$B$2:$B$1000,A4,MAPEAMENTOS!$C$2:$C$1000,"UNESCO_ECG")</x:f>
        <x:v>1</x:v>
      </x:c>
      <x:c r="AC4" s="16" t="n">
        <x:f>COUNTIFS(MAPEAMENTOS!$B$2:$B$1000,A4,MAPEAMENTOS!$C$2:$C$1000,"BNCC_GERAL")</x:f>
        <x:v>1</x:v>
      </x:c>
      <x:c r="AD4" s="16" t="n">
        <x:f>COUNTIFS(MAPEAMENTOS!$B$2:$B$1000,A4,MAPEAMENTOS!$C$2:$C$1000,"BNCC_COMPUTACAO")</x:f>
        <x:v>1</x:v>
      </x:c>
    </x:row>
    <x:row r="5" ht="58" customHeight="1">
      <x:c r="A5" s="16" t="str">
        <x:v>MA-001</x:v>
      </x:c>
      <x:c r="B5" s="16" t="str">
        <x:v>DOC-MA-INF-2006</x:v>
      </x:c>
      <x:c r="C5" s="16" t="str">
        <x:v>Marrocos</x:v>
      </x:c>
      <x:c r="D5" s="16" t="str">
        <x:v>secundário inferior</x:v>
      </x:c>
      <x:c r="E5" s="16" t="str">
        <x:v>collège</x:v>
      </x:c>
      <x:c r="F5" s="16" t="str">
        <x:v>Informática</x:v>
      </x:c>
      <x:c r="G5" s="16" t="str">
        <x:v>MA-INF-EX01</x:v>
      </x:c>
      <x:c r="H5" s="16" t="str">
        <x:v>Développer la rigueur, l'autonomie, la créativité, la communication et le travail collaboratif.</x:v>
      </x:c>
      <x:c r="I5" s="16" t="str">
        <x:v>francês</x:v>
      </x:c>
      <x:c r="J5" s="16" t="str">
        <x:v>Desenvolver rigor, autonomia, criatividade, comunicação e trabalho colaborativo.</x:v>
      </x:c>
      <x:c r="K5" s="16" t="str">
        <x:v>Desenvolver disposições para resolver problemas e colaborar com tecnologias.</x:v>
      </x:c>
      <x:c r="L5" s="16" t="str">
        <x:v>desenvolver</x:v>
      </x:c>
      <x:c r="M5" s="16" t="str">
        <x:v>autonomia, criatividade e colaboração</x:v>
      </x:c>
      <x:c r="N5" s="16" t="str">
        <x:v>aprendizagem de informática</x:v>
      </x:c>
      <x:c r="O5" s="16" t="str">
        <x:v>currículo oficial</x:v>
      </x:c>
      <x:c r="P5" s="16" t="str">
        <x:v>a confirmar</x:v>
      </x:c>
      <x:c r="Q5" s="16" t="str">
        <x:v>finalités</x:v>
      </x:c>
      <x:c r="R5" s="16" t="str">
        <x:v>autonomie, créativité, communication</x:v>
      </x:c>
      <x:c r="S5" s="16" t="str">
        <x:v>https://unesdoc.unesco.org/ark:/48223/pf0000190931</x:v>
      </x:c>
      <x:c r="T5" s="16" t="str">
        <x:v>Cultura Digital</x:v>
      </x:c>
      <x:c r="U5" s="16" t="str">
        <x:v>Pensamento Computacional</x:v>
      </x:c>
      <x:c r="V5" s="16" t="str">
        <x:v>Socioemocional</x:v>
      </x:c>
      <x:c r="W5" s="16" t="n">
        <x:v>5</x:v>
      </x:c>
      <x:c r="X5" s="16" t="str">
        <x:v>revisão pendente</x:v>
      </x:c>
      <x:c r="Y5" s="16" t="str"/>
      <x:c r="Z5" s="19" t="n">
        <x:v>0.55</x:v>
      </x:c>
      <x:c r="AA5" s="16" t="str">
        <x:v>paráfrase; verificar página no original</x:v>
      </x:c>
      <x:c r="AB5" s="16" t="n">
        <x:f>COUNTIFS(MAPEAMENTOS!$B$2:$B$1000,A5,MAPEAMENTOS!$C$2:$C$1000,"UNESCO_ECG")</x:f>
        <x:v>1</x:v>
      </x:c>
      <x:c r="AC5" s="16" t="n">
        <x:f>COUNTIFS(MAPEAMENTOS!$B$2:$B$1000,A5,MAPEAMENTOS!$C$2:$C$1000,"BNCC_GERAL")</x:f>
        <x:v>1</x:v>
      </x:c>
      <x:c r="AD5" s="16" t="n">
        <x:f>COUNTIFS(MAPEAMENTOS!$B$2:$B$1000,A5,MAPEAMENTOS!$C$2:$C$1000,"BNCC_COMPUTACAO")</x:f>
        <x:v>0</x:v>
      </x:c>
    </x:row>
    <x:row r="6" ht="58" customHeight="1">
      <x:c r="A6" s="16" t="str">
        <x:v>MA-002</x:v>
      </x:c>
      <x:c r="B6" s="16" t="str">
        <x:v>DOC-MA-INF-2006</x:v>
      </x:c>
      <x:c r="C6" s="16" t="str">
        <x:v>Marrocos</x:v>
      </x:c>
      <x:c r="D6" s="16" t="str">
        <x:v>secundário inferior</x:v>
      </x:c>
      <x:c r="E6" s="16" t="str">
        <x:v>collège</x:v>
      </x:c>
      <x:c r="F6" s="16" t="str">
        <x:v>Informática</x:v>
      </x:c>
      <x:c r="G6" s="16" t="str">
        <x:v>MA-INF-EX02</x:v>
      </x:c>
      <x:c r="H6" s="16" t="str">
        <x:v>Concevoir des algorithmes et réaliser des programmes simples.</x:v>
      </x:c>
      <x:c r="I6" s="16" t="str">
        <x:v>francês</x:v>
      </x:c>
      <x:c r="J6" s="16" t="str">
        <x:v>Conceber algoritmos e produzir programas simples.</x:v>
      </x:c>
      <x:c r="K6" s="16" t="str">
        <x:v>Projetar algoritmos e implementar programas simples.</x:v>
      </x:c>
      <x:c r="L6" s="16" t="str">
        <x:v>conceber/realizar</x:v>
      </x:c>
      <x:c r="M6" s="16" t="str">
        <x:v>algoritmos e programas</x:v>
      </x:c>
      <x:c r="N6" s="16" t="str">
        <x:v>resolução de problemas</x:v>
      </x:c>
      <x:c r="O6" s="16" t="str">
        <x:v>currículo oficial</x:v>
      </x:c>
      <x:c r="P6" s="16" t="str">
        <x:v>a confirmar</x:v>
      </x:c>
      <x:c r="Q6" s="16" t="str">
        <x:v>algorithmique</x:v>
      </x:c>
      <x:c r="R6" s="16" t="str">
        <x:v>algorithmes et programmes</x:v>
      </x:c>
      <x:c r="S6" s="16" t="str">
        <x:v>https://unesdoc.unesco.org/ark:/48223/pf0000190931</x:v>
      </x:c>
      <x:c r="T6" s="16" t="str">
        <x:v>Pensamento Computacional</x:v>
      </x:c>
      <x:c r="U6" s="16" t="str">
        <x:v>Mundo Digital</x:v>
      </x:c>
      <x:c r="V6" s="16" t="str">
        <x:v>Cognitivo</x:v>
      </x:c>
      <x:c r="W6" s="16" t="n">
        <x:v>2</x:v>
      </x:c>
      <x:c r="X6" s="16" t="str">
        <x:v>revisão pendente</x:v>
      </x:c>
      <x:c r="Y6" s="16" t="str"/>
      <x:c r="Z6" s="19" t="n">
        <x:v>0.6</x:v>
      </x:c>
      <x:c r="AA6" s="16" t="str">
        <x:v>paráfrase; verificar formulação e página</x:v>
      </x:c>
      <x:c r="AB6" s="16" t="n">
        <x:f>COUNTIFS(MAPEAMENTOS!$B$2:$B$1000,A6,MAPEAMENTOS!$C$2:$C$1000,"UNESCO_ECG")</x:f>
        <x:v>0</x:v>
      </x:c>
      <x:c r="AC6" s="16" t="n">
        <x:f>COUNTIFS(MAPEAMENTOS!$B$2:$B$1000,A6,MAPEAMENTOS!$C$2:$C$1000,"BNCC_GERAL")</x:f>
        <x:v>0</x:v>
      </x:c>
      <x:c r="AD6" s="16" t="n">
        <x:f>COUNTIFS(MAPEAMENTOS!$B$2:$B$1000,A6,MAPEAMENTOS!$C$2:$C$1000,"BNCC_COMPUTACAO")</x:f>
        <x:v>1</x:v>
      </x:c>
    </x:row>
    <x:row r="7" ht="58" customHeight="1">
      <x:c r="A7" s="16" t="str">
        <x:v>CH-DE-001</x:v>
      </x:c>
      <x:c r="B7" s="16" t="str">
        <x:v>DOC-CH-LP21</x:v>
      </x:c>
      <x:c r="C7" s="16" t="str">
        <x:v>Suíça — região alemã</x:v>
      </x:c>
      <x:c r="D7" s="16" t="str">
        <x:v>educação obrigatória</x:v>
      </x:c>
      <x:c r="E7" s="16" t="str">
        <x:v>ciclos 2–3</x:v>
      </x:c>
      <x:c r="F7" s="16" t="str">
        <x:v>Medien und Informatik</x:v>
      </x:c>
      <x:c r="G7" s="16" t="str">
        <x:v>MI.2.1</x:v>
      </x:c>
      <x:c r="H7" s="16" t="str">
        <x:v>Die Schülerinnen und Schüler können Daten darstellen, strukturieren und auswerten.</x:v>
      </x:c>
      <x:c r="I7" s="16" t="str">
        <x:v>alemão</x:v>
      </x:c>
      <x:c r="J7" s="16" t="str">
        <x:v>Estudantes podem representar, estruturar e analisar dados.</x:v>
      </x:c>
      <x:c r="K7" s="16" t="str">
        <x:v>Representar, organizar e analisar dados.</x:v>
      </x:c>
      <x:c r="L7" s="16" t="str">
        <x:v>representar/estruturar/analisar</x:v>
      </x:c>
      <x:c r="M7" s="16" t="str">
        <x:v>dados</x:v>
      </x:c>
      <x:c r="N7" s="16" t="str">
        <x:v>investigação e solução de problemas</x:v>
      </x:c>
      <x:c r="O7" s="16" t="str">
        <x:v>currículo regional</x:v>
      </x:c>
      <x:c r="P7" s="16" t="str">
        <x:v>a confirmar</x:v>
      </x:c>
      <x:c r="Q7" s="16" t="str">
        <x:v>MI.2</x:v>
      </x:c>
      <x:c r="R7" s="16" t="str">
        <x:v>Daten darstellen, strukturieren und auswerten</x:v>
      </x:c>
      <x:c r="S7" s="16" t="str">
        <x:v>https://zh.lehrplan.ch/lehrplan_printout.php?e=1&amp;k=1&amp;fb_id=10</x:v>
      </x:c>
      <x:c r="T7" s="16" t="str">
        <x:v>Mundo Digital</x:v>
      </x:c>
      <x:c r="U7" s="16" t="str">
        <x:v>Pensamento Computacional</x:v>
      </x:c>
      <x:c r="V7" s="16" t="str">
        <x:v>Cognitivo</x:v>
      </x:c>
      <x:c r="W7" s="16" t="n">
        <x:v>2</x:v>
      </x:c>
      <x:c r="X7" s="16" t="str">
        <x:v>revisão pendente</x:v>
      </x:c>
      <x:c r="Y7" s="16" t="str"/>
      <x:c r="Z7" s="19" t="n">
        <x:v>0.85</x:v>
      </x:c>
      <x:c r="AA7" s="16" t="str">
        <x:v>manter jurisdição regional</x:v>
      </x:c>
      <x:c r="AB7" s="16" t="n">
        <x:f>COUNTIFS(MAPEAMENTOS!$B$2:$B$1000,A7,MAPEAMENTOS!$C$2:$C$1000,"UNESCO_ECG")</x:f>
        <x:v>0</x:v>
      </x:c>
      <x:c r="AC7" s="16" t="n">
        <x:f>COUNTIFS(MAPEAMENTOS!$B$2:$B$1000,A7,MAPEAMENTOS!$C$2:$C$1000,"BNCC_GERAL")</x:f>
        <x:v>1</x:v>
      </x:c>
      <x:c r="AD7" s="16" t="n">
        <x:f>COUNTIFS(MAPEAMENTOS!$B$2:$B$1000,A7,MAPEAMENTOS!$C$2:$C$1000,"BNCC_COMPUTACAO")</x:f>
        <x:v>1</x:v>
      </x:c>
    </x:row>
    <x:row r="8" ht="58" customHeight="1">
      <x:c r="A8" s="16" t="str">
        <x:v>CH-DE-002</x:v>
      </x:c>
      <x:c r="B8" s="16" t="str">
        <x:v>DOC-CH-LP21</x:v>
      </x:c>
      <x:c r="C8" s="16" t="str">
        <x:v>Suíça — região alemã</x:v>
      </x:c>
      <x:c r="D8" s="16" t="str">
        <x:v>educação obrigatória</x:v>
      </x:c>
      <x:c r="E8" s="16" t="str">
        <x:v>ciclos 2–3</x:v>
      </x:c>
      <x:c r="F8" s="16" t="str">
        <x:v>Medien und Informatik</x:v>
      </x:c>
      <x:c r="G8" s="16" t="str">
        <x:v>MI.2.2</x:v>
      </x:c>
      <x:c r="H8" s="16" t="str">
        <x:v>Einfache Problemstellungen analysieren, Lösungsverfahren beschreiben und in Programmen umsetzen.</x:v>
      </x:c>
      <x:c r="I8" s="16" t="str">
        <x:v>alemão</x:v>
      </x:c>
      <x:c r="J8" s="16" t="str">
        <x:v>Analisar problemas simples, descrever procedimentos de solução e implementá-los em programas.</x:v>
      </x:c>
      <x:c r="K8" s="16" t="str">
        <x:v>Analisar problemas e implementar algoritmos.</x:v>
      </x:c>
      <x:c r="L8" s="16" t="str">
        <x:v>analisar/descrever/implementar</x:v>
      </x:c>
      <x:c r="M8" s="16" t="str">
        <x:v>procedimentos e programas</x:v>
      </x:c>
      <x:c r="N8" s="16" t="str">
        <x:v>problemas simples</x:v>
      </x:c>
      <x:c r="O8" s="16" t="str">
        <x:v>currículo regional</x:v>
      </x:c>
      <x:c r="P8" s="16" t="str">
        <x:v>a confirmar</x:v>
      </x:c>
      <x:c r="Q8" s="16" t="str">
        <x:v>MI.2</x:v>
      </x:c>
      <x:c r="R8" s="16" t="str">
        <x:v>Problemstellungen analysieren</x:v>
      </x:c>
      <x:c r="S8" s="16" t="str">
        <x:v>https://zh.lehrplan.ch/lehrplan_printout.php?e=1&amp;k=1&amp;fb_id=10</x:v>
      </x:c>
      <x:c r="T8" s="16" t="str">
        <x:v>Pensamento Computacional</x:v>
      </x:c>
      <x:c r="U8" s="16" t="str">
        <x:v>Mundo Digital</x:v>
      </x:c>
      <x:c r="V8" s="16" t="str">
        <x:v>Cognitivo</x:v>
      </x:c>
      <x:c r="W8" s="16" t="n">
        <x:v>2</x:v>
      </x:c>
      <x:c r="X8" s="16" t="str">
        <x:v>revisão pendente</x:v>
      </x:c>
      <x:c r="Y8" s="16" t="str"/>
      <x:c r="Z8" s="19" t="n">
        <x:v>0.85</x:v>
      </x:c>
      <x:c r="AA8" s="16" t="str">
        <x:v>registro demonstrativo</x:v>
      </x:c>
      <x:c r="AB8" s="16" t="n">
        <x:f>COUNTIFS(MAPEAMENTOS!$B$2:$B$1000,A8,MAPEAMENTOS!$C$2:$C$1000,"UNESCO_ECG")</x:f>
        <x:v>0</x:v>
      </x:c>
      <x:c r="AC8" s="16" t="n">
        <x:f>COUNTIFS(MAPEAMENTOS!$B$2:$B$1000,A8,MAPEAMENTOS!$C$2:$C$1000,"BNCC_GERAL")</x:f>
        <x:v>0</x:v>
      </x:c>
      <x:c r="AD8" s="16" t="n">
        <x:f>COUNTIFS(MAPEAMENTOS!$B$2:$B$1000,A8,MAPEAMENTOS!$C$2:$C$1000,"BNCC_COMPUTACAO")</x:f>
        <x:v>1</x:v>
      </x:c>
    </x:row>
    <x:row r="9" ht="58" customHeight="1">
      <x:c r="A9" s="16" t="str">
        <x:v>CH-FR-001</x:v>
      </x:c>
      <x:c r="B9" s="16" t="str">
        <x:v>DOC-CH-PER</x:v>
      </x:c>
      <x:c r="C9" s="16" t="str">
        <x:v>Suíça — região francófona</x:v>
      </x:c>
      <x:c r="D9" s="16" t="str">
        <x:v>educação obrigatória</x:v>
      </x:c>
      <x:c r="E9" s="16" t="str">
        <x:v>ciclo 3</x:v>
      </x:c>
      <x:c r="F9" s="16" t="str">
        <x:v>Educação digital</x:v>
      </x:c>
      <x:c r="G9" s="16" t="str">
        <x:v>EN33-EX01</x:v>
      </x:c>
      <x:c r="H9" s="16" t="str">
        <x:v>Modéliser des phénomènes et résoudre des problèmes à l'aide de concepts informatiques.</x:v>
      </x:c>
      <x:c r="I9" s="16" t="str">
        <x:v>francês</x:v>
      </x:c>
      <x:c r="J9" s="16" t="str">
        <x:v>Modelar fenômenos e resolver problemas com conceitos da informática.</x:v>
      </x:c>
      <x:c r="K9" s="16" t="str">
        <x:v>Aplicar modelagem computacional à resolução de problemas.</x:v>
      </x:c>
      <x:c r="L9" s="16" t="str">
        <x:v>modelar/resolver</x:v>
      </x:c>
      <x:c r="M9" s="16" t="str">
        <x:v>fenômenos e problemas</x:v>
      </x:c>
      <x:c r="N9" s="16" t="str">
        <x:v>investigação</x:v>
      </x:c>
      <x:c r="O9" s="16" t="str">
        <x:v>currículo regional</x:v>
      </x:c>
      <x:c r="P9" s="16" t="str">
        <x:v>a confirmar</x:v>
      </x:c>
      <x:c r="Q9" s="16" t="str">
        <x:v>EN33</x:v>
      </x:c>
      <x:c r="R9" s="16" t="str">
        <x:v>modéliser des phénomènes</x:v>
      </x:c>
      <x:c r="S9" s="16" t="str">
        <x:v>https://bdper.plandetudes.ch/uploads/per_pdf/Education_numerique/EN33_PER_Education%20numerique.pdf</x:v>
      </x:c>
      <x:c r="T9" s="16" t="str">
        <x:v>Pensamento Computacional</x:v>
      </x:c>
      <x:c r="U9" s="16" t="str">
        <x:v>Mundo Digital</x:v>
      </x:c>
      <x:c r="V9" s="16" t="str">
        <x:v>Cognitivo</x:v>
      </x:c>
      <x:c r="W9" s="16" t="n">
        <x:v>2</x:v>
      </x:c>
      <x:c r="X9" s="16" t="str">
        <x:v>revisão pendente</x:v>
      </x:c>
      <x:c r="Y9" s="16" t="str"/>
      <x:c r="Z9" s="19" t="n">
        <x:v>0.75</x:v>
      </x:c>
      <x:c r="AA9" s="16" t="str">
        <x:v>confirmar código exato no PDF</x:v>
      </x:c>
      <x:c r="AB9" s="16" t="n">
        <x:f>COUNTIFS(MAPEAMENTOS!$B$2:$B$1000,A9,MAPEAMENTOS!$C$2:$C$1000,"UNESCO_ECG")</x:f>
        <x:v>1</x:v>
      </x:c>
      <x:c r="AC9" s="16" t="n">
        <x:f>COUNTIFS(MAPEAMENTOS!$B$2:$B$1000,A9,MAPEAMENTOS!$C$2:$C$1000,"BNCC_GERAL")</x:f>
        <x:v>0</x:v>
      </x:c>
      <x:c r="AD9" s="16" t="n">
        <x:f>COUNTIFS(MAPEAMENTOS!$B$2:$B$1000,A9,MAPEAMENTOS!$C$2:$C$1000,"BNCC_COMPUTACAO")</x:f>
        <x:v>1</x:v>
      </x:c>
    </x:row>
    <x:row r="10" ht="58" customHeight="1">
      <x:c r="A10" s="16" t="str">
        <x:v>CH-IT-001</x:v>
      </x:c>
      <x:c r="B10" s="16" t="str">
        <x:v>DOC-CH-TI</x:v>
      </x:c>
      <x:c r="C10" s="16" t="str">
        <x:v>Suíça — Ticino</x:v>
      </x:c>
      <x:c r="D10" s="16" t="str">
        <x:v>educação obrigatória</x:v>
      </x:c>
      <x:c r="E10" s="16" t="str">
        <x:v>ciclos 1–3</x:v>
      </x:c>
      <x:c r="F10" s="16" t="str">
        <x:v>Tecnologie e media</x:v>
      </x:c>
      <x:c r="G10" s="16" t="str">
        <x:v>TM-EX01</x:v>
      </x:c>
      <x:c r="H10" s="16" t="str">
        <x:v>Organizzare, formulare e utilizzare istruzioni per risolvere problemi.</x:v>
      </x:c>
      <x:c r="I10" s="16" t="str">
        <x:v>italiano</x:v>
      </x:c>
      <x:c r="J10" s="16" t="str">
        <x:v>Organizar, formular e utilizar instruções para resolver problemas.</x:v>
      </x:c>
      <x:c r="K10" s="16" t="str">
        <x:v>Construir e executar sequências de instruções.</x:v>
      </x:c>
      <x:c r="L10" s="16" t="str">
        <x:v>organizar/formular/utilizar</x:v>
      </x:c>
      <x:c r="M10" s="16" t="str">
        <x:v>instruções</x:v>
      </x:c>
      <x:c r="N10" s="16" t="str">
        <x:v>resolução de problemas</x:v>
      </x:c>
      <x:c r="O10" s="16" t="str">
        <x:v>currículo cantonal</x:v>
      </x:c>
      <x:c r="P10" s="16" t="str">
        <x:v>a confirmar</x:v>
      </x:c>
      <x:c r="Q10" s="16" t="str">
        <x:v>competenza</x:v>
      </x:c>
      <x:c r="R10" s="16" t="str">
        <x:v>istruzioni per risolvere problemi</x:v>
      </x:c>
      <x:c r="S10" s="16" t="str">
        <x:v>https://pianodistudio.edu.ti.ch/wp-content/uploads/2023/12/Tecnologie-e-Media-modello-di-competenza.pdf</x:v>
      </x:c>
      <x:c r="T10" s="16" t="str">
        <x:v>Pensamento Computacional</x:v>
      </x:c>
      <x:c r="U10" s="16" t="str"/>
      <x:c r="V10" s="16" t="str">
        <x:v>Cognitivo</x:v>
      </x:c>
      <x:c r="W10" s="16" t="n">
        <x:v>2</x:v>
      </x:c>
      <x:c r="X10" s="16" t="str">
        <x:v>revisão pendente</x:v>
      </x:c>
      <x:c r="Y10" s="16" t="str"/>
      <x:c r="Z10" s="19" t="n">
        <x:v>0.7</x:v>
      </x:c>
      <x:c r="AA10" s="16" t="str">
        <x:v>confirmar progressão por ciclo</x:v>
      </x:c>
      <x:c r="AB10" s="16" t="n">
        <x:f>COUNTIFS(MAPEAMENTOS!$B$2:$B$1000,A10,MAPEAMENTOS!$C$2:$C$1000,"UNESCO_ECG")</x:f>
        <x:v>0</x:v>
      </x:c>
      <x:c r="AC10" s="16" t="n">
        <x:f>COUNTIFS(MAPEAMENTOS!$B$2:$B$1000,A10,MAPEAMENTOS!$C$2:$C$1000,"BNCC_GERAL")</x:f>
        <x:v>0</x:v>
      </x:c>
      <x:c r="AD10" s="16" t="n">
        <x:f>COUNTIFS(MAPEAMENTOS!$B$2:$B$1000,A10,MAPEAMENTOS!$C$2:$C$1000,"BNCC_COMPUTACAO")</x:f>
        <x:v>1</x:v>
      </x:c>
    </x:row>
    <x:row r="11">
      <x:c r="Z11" s="18"/>
    </x:row>
    <x:row r="12">
      <x:c r="Z12" s="18"/>
    </x:row>
    <x:row r="13">
      <x:c r="Z13" s="18"/>
    </x:row>
    <x:row r="14">
      <x:c r="Z14" s="18"/>
    </x:row>
    <x:row r="15">
      <x:c r="Z15" s="18"/>
    </x:row>
    <x:row r="16">
      <x:c r="Z16" s="18"/>
    </x:row>
    <x:row r="17">
      <x:c r="Z17" s="18"/>
    </x:row>
    <x:row r="18">
      <x:c r="Z18" s="18"/>
    </x:row>
    <x:row r="19">
      <x:c r="Z19" s="18"/>
    </x:row>
    <x:row r="20">
      <x:c r="Z20" s="18"/>
    </x:row>
    <x:row r="21">
      <x:c r="Z21" s="18"/>
    </x:row>
    <x:row r="22">
      <x:c r="Z22" s="18"/>
    </x:row>
    <x:row r="23">
      <x:c r="Z23" s="18"/>
    </x:row>
    <x:row r="24">
      <x:c r="Z24" s="18"/>
    </x:row>
    <x:row r="25">
      <x:c r="Z25" s="18"/>
    </x:row>
    <x:row r="26">
      <x:c r="Z26" s="18"/>
    </x:row>
    <x:row r="27">
      <x:c r="Z27" s="18"/>
    </x:row>
    <x:row r="28">
      <x:c r="Z28" s="18"/>
    </x:row>
    <x:row r="29">
      <x:c r="Z29" s="18"/>
    </x:row>
    <x:row r="30">
      <x:c r="Z30" s="18"/>
    </x:row>
    <x:row r="31">
      <x:c r="Z31" s="18"/>
    </x:row>
    <x:row r="32">
      <x:c r="Z32" s="18"/>
    </x:row>
    <x:row r="33">
      <x:c r="Z33" s="18"/>
    </x:row>
    <x:row r="34">
      <x:c r="Z34" s="18"/>
    </x:row>
    <x:row r="35">
      <x:c r="Z35" s="18"/>
    </x:row>
    <x:row r="36">
      <x:c r="Z36" s="18"/>
    </x:row>
    <x:row r="37">
      <x:c r="Z37" s="18"/>
    </x:row>
    <x:row r="38">
      <x:c r="Z38" s="18"/>
    </x:row>
    <x:row r="39">
      <x:c r="Z39" s="18"/>
    </x:row>
    <x:row r="40">
      <x:c r="Z40" s="18"/>
    </x:row>
    <x:row r="41">
      <x:c r="Z41" s="18"/>
    </x:row>
    <x:row r="42">
      <x:c r="Z42" s="18"/>
    </x:row>
    <x:row r="43">
      <x:c r="Z43" s="18"/>
    </x:row>
    <x:row r="44">
      <x:c r="Z44" s="18"/>
    </x:row>
    <x:row r="45">
      <x:c r="Z45" s="18"/>
    </x:row>
    <x:row r="46">
      <x:c r="Z46" s="18"/>
    </x:row>
    <x:row r="47">
      <x:c r="Z47" s="18"/>
    </x:row>
    <x:row r="48">
      <x:c r="Z48" s="18"/>
    </x:row>
    <x:row r="49">
      <x:c r="Z49" s="18"/>
    </x:row>
    <x:row r="50">
      <x:c r="Z50" s="18"/>
    </x:row>
    <x:row r="51">
      <x:c r="Z51" s="18"/>
    </x:row>
    <x:row r="52">
      <x:c r="Z52" s="18"/>
    </x:row>
    <x:row r="53">
      <x:c r="Z53" s="18"/>
    </x:row>
    <x:row r="54">
      <x:c r="Z54" s="18"/>
    </x:row>
    <x:row r="55">
      <x:c r="Z55" s="18"/>
    </x:row>
    <x:row r="56">
      <x:c r="Z56" s="18"/>
    </x:row>
    <x:row r="57">
      <x:c r="Z57" s="18"/>
    </x:row>
    <x:row r="58">
      <x:c r="Z58" s="18"/>
    </x:row>
    <x:row r="59">
      <x:c r="Z59" s="18"/>
    </x:row>
    <x:row r="60">
      <x:c r="Z60" s="18"/>
    </x:row>
    <x:row r="61">
      <x:c r="Z61" s="18"/>
    </x:row>
    <x:row r="62">
      <x:c r="Z62" s="18"/>
    </x:row>
    <x:row r="63">
      <x:c r="Z63" s="18"/>
    </x:row>
    <x:row r="64">
      <x:c r="Z64" s="18"/>
    </x:row>
    <x:row r="65">
      <x:c r="Z65" s="18"/>
    </x:row>
    <x:row r="66">
      <x:c r="Z66" s="18"/>
    </x:row>
    <x:row r="67">
      <x:c r="Z67" s="18"/>
    </x:row>
    <x:row r="68">
      <x:c r="Z68" s="18"/>
    </x:row>
    <x:row r="69">
      <x:c r="Z69" s="18"/>
    </x:row>
    <x:row r="70">
      <x:c r="Z70" s="18"/>
    </x:row>
    <x:row r="71">
      <x:c r="Z71" s="18"/>
    </x:row>
    <x:row r="72">
      <x:c r="Z72" s="18"/>
    </x:row>
    <x:row r="73">
      <x:c r="Z73" s="18"/>
    </x:row>
    <x:row r="74">
      <x:c r="Z74" s="18"/>
    </x:row>
    <x:row r="75">
      <x:c r="Z75" s="18"/>
    </x:row>
    <x:row r="76">
      <x:c r="Z76" s="18"/>
    </x:row>
    <x:row r="77">
      <x:c r="Z77" s="18"/>
    </x:row>
    <x:row r="78">
      <x:c r="Z78" s="18"/>
    </x:row>
    <x:row r="79">
      <x:c r="Z79" s="18"/>
    </x:row>
    <x:row r="80">
      <x:c r="Z80" s="18"/>
    </x:row>
    <x:row r="81">
      <x:c r="Z81" s="18"/>
    </x:row>
    <x:row r="82">
      <x:c r="Z82" s="18"/>
    </x:row>
    <x:row r="83">
      <x:c r="Z83" s="18"/>
    </x:row>
    <x:row r="84">
      <x:c r="Z84" s="18"/>
    </x:row>
    <x:row r="85">
      <x:c r="Z85" s="18"/>
    </x:row>
    <x:row r="86">
      <x:c r="Z86" s="18"/>
    </x:row>
    <x:row r="87">
      <x:c r="Z87" s="18"/>
    </x:row>
    <x:row r="88">
      <x:c r="Z88" s="18"/>
    </x:row>
    <x:row r="89">
      <x:c r="Z89" s="18"/>
    </x:row>
    <x:row r="90">
      <x:c r="Z90" s="18"/>
    </x:row>
    <x:row r="91">
      <x:c r="Z91" s="18"/>
    </x:row>
    <x:row r="92">
      <x:c r="Z92" s="18"/>
    </x:row>
    <x:row r="93">
      <x:c r="Z93" s="18"/>
    </x:row>
    <x:row r="94">
      <x:c r="Z94" s="18"/>
    </x:row>
    <x:row r="95">
      <x:c r="Z95" s="18"/>
    </x:row>
    <x:row r="96">
      <x:c r="Z96" s="18"/>
    </x:row>
    <x:row r="97">
      <x:c r="Z97" s="18"/>
    </x:row>
    <x:row r="98">
      <x:c r="Z98" s="18"/>
    </x:row>
    <x:row r="99">
      <x:c r="Z99" s="18"/>
    </x:row>
    <x:row r="100">
      <x:c r="Z100" s="18"/>
    </x:row>
  </x:sheetData>
  <x:conditionalFormatting sqref="Z2:Z10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2">
    <x:dataValidation type="list" sqref="T2:U1000">
      <x:formula1>"Pensamento Computacional,Mundo Digital,Cultura Digital"</x:formula1>
    </x:dataValidation>
    <x:dataValidation type="list" sqref="V2:V1000">
      <x:formula1>"Cognitivo,Socioemocional,Comportamental"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18" hidden="0" customWidth="1"/>
    <x:col min="6" max="6" width="10" hidden="0" customWidth="1"/>
    <x:col min="7" max="7" width="16" hidden="0" customWidth="1"/>
    <x:col min="8" max="8" width="70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</x:cols>
  <x:sheetData>
    <x:row r="1" ht="30" customHeight="1">
      <x:c r="A1" s="9" t="str">
        <x:v>map_id</x:v>
      </x:c>
      <x:c r="B1" s="9" t="str">
        <x:v>skill_id</x:v>
      </x:c>
      <x:c r="C1" s="9" t="str">
        <x:v>framework</x:v>
      </x:c>
      <x:c r="D1" s="9" t="str">
        <x:v>framework_code</x:v>
      </x:c>
      <x:c r="E1" s="9" t="str">
        <x:v>tipo_alinhamento</x:v>
      </x:c>
      <x:c r="F1" s="9" t="str">
        <x:v>score</x:v>
      </x:c>
      <x:c r="G1" s="9" t="str">
        <x:v>forca_evidencia</x:v>
      </x:c>
      <x:c r="H1" s="9" t="str">
        <x:v>justificativa</x:v>
      </x:c>
      <x:c r="I1" s="9" t="str">
        <x:v>revisor</x:v>
      </x:c>
      <x:c r="J1" s="9" t="str">
        <x:v>data_revisao</x:v>
      </x:c>
      <x:c r="K1" s="9" t="str">
        <x:v>divergencia</x:v>
      </x:c>
      <x:c r="L1" s="9" t="str">
        <x:v>status_final</x:v>
      </x:c>
    </x:row>
    <x:row r="2" ht="56" customHeight="1">
      <x:c r="A2" s="11" t="str">
        <x:v>MAP-001</x:v>
      </x:c>
      <x:c r="B2" s="11" t="str">
        <x:v>CL-001</x:v>
      </x:c>
      <x:c r="C2" s="11" t="str">
        <x:v>BNCC_COMPUTACAO</x:v>
      </x:c>
      <x:c r="D2" s="11" t="str">
        <x:v>EM13CO02</x:v>
      </x:c>
      <x:c r="E2" s="11" t="str">
        <x:v>Equivalente</x:v>
      </x:c>
      <x:c r="F2" s="17" t="n">
        <x:v>0.75</x:v>
      </x:c>
      <x:c r="G2" s="11" t="str">
        <x:v>média</x:v>
      </x:c>
      <x:c r="H2" s="11" t="str">
        <x:v>Ambas mobilizam abstração e construção de soluções computacionais.</x:v>
      </x:c>
      <x:c r="I2" s="11" t="str"/>
      <x:c r="J2" s="11" t="str"/>
      <x:c r="K2" s="11" t="str">
        <x:v>não</x:v>
      </x:c>
      <x:c r="L2" s="11" t="str">
        <x:v>preliminar</x:v>
      </x:c>
    </x:row>
    <x:row r="3" ht="56" customHeight="1">
      <x:c r="A3" s="11" t="str">
        <x:v>MAP-002</x:v>
      </x:c>
      <x:c r="B3" s="11" t="str">
        <x:v>CL-001</x:v>
      </x:c>
      <x:c r="C3" s="11" t="str">
        <x:v>BNCC_GERAL</x:v>
      </x:c>
      <x:c r="D3" s="11" t="str">
        <x:v>CG02</x:v>
      </x:c>
      <x:c r="E3" s="11" t="str">
        <x:v>Equivalente</x:v>
      </x:c>
      <x:c r="F3" s="17" t="n">
        <x:v>0.75</x:v>
      </x:c>
      <x:c r="G3" s="11" t="str">
        <x:v>média</x:v>
      </x:c>
      <x:c r="H3" s="11" t="str">
        <x:v>Investigação, lógica, criatividade e resolução de problemas.</x:v>
      </x:c>
      <x:c r="I3" s="11" t="str"/>
      <x:c r="J3" s="11" t="str"/>
      <x:c r="K3" s="11" t="str">
        <x:v>não</x:v>
      </x:c>
      <x:c r="L3" s="11" t="str">
        <x:v>preliminar</x:v>
      </x:c>
    </x:row>
    <x:row r="4" ht="56" customHeight="1">
      <x:c r="A4" s="11" t="str">
        <x:v>MAP-003</x:v>
      </x:c>
      <x:c r="B4" s="11" t="str">
        <x:v>CL-001</x:v>
      </x:c>
      <x:c r="C4" s="11" t="str">
        <x:v>UNESCO_ECG</x:v>
      </x:c>
      <x:c r="D4" s="11" t="str">
        <x:v>ECG-T02-15_18_</x:v>
      </x:c>
      <x:c r="E4" s="11" t="str">
        <x:v>Parcial</x:v>
      </x:c>
      <x:c r="F4" s="17" t="n">
        <x:v>0.5</x:v>
      </x:c>
      <x:c r="G4" s="11" t="str">
        <x:v>baixa</x:v>
      </x:c>
      <x:c r="H4" s="11" t="str">
        <x:v>A resolução de problemas pode apoiar análise de desafios, mas a dimensão global não é explícita.</x:v>
      </x:c>
      <x:c r="I4" s="11" t="str"/>
      <x:c r="J4" s="11" t="str"/>
      <x:c r="K4" s="11" t="str">
        <x:v>não</x:v>
      </x:c>
      <x:c r="L4" s="11" t="str">
        <x:v>preliminar</x:v>
      </x:c>
    </x:row>
    <x:row r="5" ht="56" customHeight="1">
      <x:c r="A5" s="11" t="str">
        <x:v>MAP-004</x:v>
      </x:c>
      <x:c r="B5" s="11" t="str">
        <x:v>EE-002</x:v>
      </x:c>
      <x:c r="C5" s="11" t="str">
        <x:v>BNCC_COMPUTACAO</x:v>
      </x:c>
      <x:c r="D5" s="11" t="str">
        <x:v>EM13CO08</x:v>
      </x:c>
      <x:c r="E5" s="11" t="str">
        <x:v>Equivalente</x:v>
      </x:c>
      <x:c r="F5" s="17" t="n">
        <x:v>0.75</x:v>
      </x:c>
      <x:c r="G5" s="11" t="str">
        <x:v>alta</x:v>
      </x:c>
      <x:c r="H5" s="11" t="str">
        <x:v>Convergência em segurança, privacidade, dados e riscos.</x:v>
      </x:c>
      <x:c r="I5" s="11" t="str"/>
      <x:c r="J5" s="11" t="str"/>
      <x:c r="K5" s="11" t="str">
        <x:v>não</x:v>
      </x:c>
      <x:c r="L5" s="11" t="str">
        <x:v>preliminar</x:v>
      </x:c>
    </x:row>
    <x:row r="6" ht="56" customHeight="1">
      <x:c r="A6" s="11" t="str">
        <x:v>MAP-005</x:v>
      </x:c>
      <x:c r="B6" s="11" t="str">
        <x:v>EE-002</x:v>
      </x:c>
      <x:c r="C6" s="11" t="str">
        <x:v>BNCC_GERAL</x:v>
      </x:c>
      <x:c r="D6" s="11" t="str">
        <x:v>CG05</x:v>
      </x:c>
      <x:c r="E6" s="11" t="str">
        <x:v>Equivalente</x:v>
      </x:c>
      <x:c r="F6" s="17" t="n">
        <x:v>0.75</x:v>
      </x:c>
      <x:c r="G6" s="11" t="str">
        <x:v>alta</x:v>
      </x:c>
      <x:c r="H6" s="11" t="str">
        <x:v>Uso crítico, reflexivo e ético de tecnologias digitais.</x:v>
      </x:c>
      <x:c r="I6" s="11" t="str"/>
      <x:c r="J6" s="11" t="str"/>
      <x:c r="K6" s="11" t="str">
        <x:v>não</x:v>
      </x:c>
      <x:c r="L6" s="11" t="str">
        <x:v>preliminar</x:v>
      </x:c>
    </x:row>
    <x:row r="7" ht="56" customHeight="1">
      <x:c r="A7" s="11" t="str">
        <x:v>MAP-006</x:v>
      </x:c>
      <x:c r="B7" s="11" t="str">
        <x:v>EE-002</x:v>
      </x:c>
      <x:c r="C7" s="11" t="str">
        <x:v>UNESCO_ECG</x:v>
      </x:c>
      <x:c r="D7" s="11" t="str">
        <x:v>ECG-T08-12_15</x:v>
      </x:c>
      <x:c r="E7" s="11" t="str">
        <x:v>Parcial</x:v>
      </x:c>
      <x:c r="F7" s="17" t="n">
        <x:v>0.5</x:v>
      </x:c>
      <x:c r="G7" s="11" t="str">
        <x:v>média</x:v>
      </x:c>
      <x:c r="H7" s="11" t="str">
        <x:v>Responsabilidade e consequências no comportamento digital.</x:v>
      </x:c>
      <x:c r="I7" s="11" t="str"/>
      <x:c r="J7" s="11" t="str"/>
      <x:c r="K7" s="11" t="str">
        <x:v>não</x:v>
      </x:c>
      <x:c r="L7" s="11" t="str">
        <x:v>preliminar</x:v>
      </x:c>
    </x:row>
    <x:row r="8" ht="56" customHeight="1">
      <x:c r="A8" s="11" t="str">
        <x:v>MAP-007</x:v>
      </x:c>
      <x:c r="B8" s="11" t="str">
        <x:v>MA-001</x:v>
      </x:c>
      <x:c r="C8" s="11" t="str">
        <x:v>BNCC_GERAL</x:v>
      </x:c>
      <x:c r="D8" s="11" t="str">
        <x:v>CG09</x:v>
      </x:c>
      <x:c r="E8" s="11" t="str">
        <x:v>Equivalente</x:v>
      </x:c>
      <x:c r="F8" s="17" t="n">
        <x:v>0.75</x:v>
      </x:c>
      <x:c r="G8" s="11" t="str">
        <x:v>média</x:v>
      </x:c>
      <x:c r="H8" s="11" t="str">
        <x:v>Comunicação e colaboração se aproximam de empatia e cooperação.</x:v>
      </x:c>
      <x:c r="I8" s="11" t="str"/>
      <x:c r="J8" s="11" t="str"/>
      <x:c r="K8" s="11" t="str">
        <x:v>não</x:v>
      </x:c>
      <x:c r="L8" s="11" t="str">
        <x:v>preliminar</x:v>
      </x:c>
    </x:row>
    <x:row r="9" ht="56" customHeight="1">
      <x:c r="A9" s="11" t="str">
        <x:v>MAP-008</x:v>
      </x:c>
      <x:c r="B9" s="11" t="str">
        <x:v>MA-001</x:v>
      </x:c>
      <x:c r="C9" s="11" t="str">
        <x:v>UNESCO_ECG</x:v>
      </x:c>
      <x:c r="D9" s="11" t="str">
        <x:v>ECG-T05-12_15</x:v>
      </x:c>
      <x:c r="E9" s="11" t="str">
        <x:v>Parcial</x:v>
      </x:c>
      <x:c r="F9" s="17" t="n">
        <x:v>0.5</x:v>
      </x:c>
      <x:c r="G9" s="11" t="str">
        <x:v>baixa</x:v>
      </x:c>
      <x:c r="H9" s="11" t="str">
        <x:v>Colaboração aparece, mas humanidade comum não é explícita no trecho.</x:v>
      </x:c>
      <x:c r="I9" s="11" t="str"/>
      <x:c r="J9" s="11" t="str"/>
      <x:c r="K9" s="11" t="str">
        <x:v>não</x:v>
      </x:c>
      <x:c r="L9" s="11" t="str">
        <x:v>preliminar</x:v>
      </x:c>
    </x:row>
    <x:row r="10" ht="56" customHeight="1">
      <x:c r="A10" s="11" t="str">
        <x:v>MAP-009</x:v>
      </x:c>
      <x:c r="B10" s="11" t="str">
        <x:v>MA-002</x:v>
      </x:c>
      <x:c r="C10" s="11" t="str">
        <x:v>BNCC_COMPUTACAO</x:v>
      </x:c>
      <x:c r="D10" s="11" t="str">
        <x:v>EF01CO03</x:v>
      </x:c>
      <x:c r="E10" s="11" t="str">
        <x:v>Equivalente</x:v>
      </x:c>
      <x:c r="F10" s="17" t="n">
        <x:v>0.75</x:v>
      </x:c>
      <x:c r="G10" s="11" t="str">
        <x:v>média</x:v>
      </x:c>
      <x:c r="H10" s="11" t="str">
        <x:v>Núcleo comum de concepção e implementação de algoritmos, com níveis distintos.</x:v>
      </x:c>
      <x:c r="I10" s="11" t="str"/>
      <x:c r="J10" s="11" t="str"/>
      <x:c r="K10" s="11" t="str">
        <x:v>não</x:v>
      </x:c>
      <x:c r="L10" s="11" t="str">
        <x:v>preliminar</x:v>
      </x:c>
    </x:row>
    <x:row r="11" ht="56" customHeight="1">
      <x:c r="A11" s="11" t="str">
        <x:v>MAP-010</x:v>
      </x:c>
      <x:c r="B11" s="11" t="str">
        <x:v>CH-DE-001</x:v>
      </x:c>
      <x:c r="C11" s="11" t="str">
        <x:v>BNCC_COMPUTACAO</x:v>
      </x:c>
      <x:c r="D11" s="11" t="str">
        <x:v>EM13CO12</x:v>
      </x:c>
      <x:c r="E11" s="11" t="str">
        <x:v>Equivalente</x:v>
      </x:c>
      <x:c r="F11" s="17" t="n">
        <x:v>0.75</x:v>
      </x:c>
      <x:c r="G11" s="11" t="str">
        <x:v>alta</x:v>
      </x:c>
      <x:c r="H11" s="11" t="str">
        <x:v>Representação, organização e análise de dados.</x:v>
      </x:c>
      <x:c r="I11" s="11" t="str"/>
      <x:c r="J11" s="11" t="str"/>
      <x:c r="K11" s="11" t="str">
        <x:v>não</x:v>
      </x:c>
      <x:c r="L11" s="11" t="str">
        <x:v>preliminar</x:v>
      </x:c>
    </x:row>
    <x:row r="12" ht="56" customHeight="1">
      <x:c r="A12" s="11" t="str">
        <x:v>MAP-011</x:v>
      </x:c>
      <x:c r="B12" s="11" t="str">
        <x:v>CH-DE-001</x:v>
      </x:c>
      <x:c r="C12" s="11" t="str">
        <x:v>BNCC_GERAL</x:v>
      </x:c>
      <x:c r="D12" s="11" t="str">
        <x:v>CG02</x:v>
      </x:c>
      <x:c r="E12" s="11" t="str">
        <x:v>Parcial</x:v>
      </x:c>
      <x:c r="F12" s="17" t="n">
        <x:v>0.5</x:v>
      </x:c>
      <x:c r="G12" s="11" t="str">
        <x:v>média</x:v>
      </x:c>
      <x:c r="H12" s="11" t="str">
        <x:v>Análise de dados apoia pensamento científico e crítico.</x:v>
      </x:c>
      <x:c r="I12" s="11" t="str"/>
      <x:c r="J12" s="11" t="str"/>
      <x:c r="K12" s="11" t="str">
        <x:v>não</x:v>
      </x:c>
      <x:c r="L12" s="11" t="str">
        <x:v>preliminar</x:v>
      </x:c>
    </x:row>
    <x:row r="13" ht="56" customHeight="1">
      <x:c r="A13" s="11" t="str">
        <x:v>MAP-012</x:v>
      </x:c>
      <x:c r="B13" s="11" t="str">
        <x:v>CH-DE-002</x:v>
      </x:c>
      <x:c r="C13" s="11" t="str">
        <x:v>BNCC_COMPUTACAO</x:v>
      </x:c>
      <x:c r="D13" s="11" t="str">
        <x:v>EM13CO02</x:v>
      </x:c>
      <x:c r="E13" s="11" t="str">
        <x:v>Equivalente</x:v>
      </x:c>
      <x:c r="F13" s="17" t="n">
        <x:v>0.75</x:v>
      </x:c>
      <x:c r="G13" s="11" t="str">
        <x:v>alta</x:v>
      </x:c>
      <x:c r="H13" s="11" t="str">
        <x:v>Análise de problemas, procedimentos e implementação em programas.</x:v>
      </x:c>
      <x:c r="I13" s="11" t="str"/>
      <x:c r="J13" s="11" t="str"/>
      <x:c r="K13" s="11" t="str">
        <x:v>não</x:v>
      </x:c>
      <x:c r="L13" s="11" t="str">
        <x:v>preliminar</x:v>
      </x:c>
    </x:row>
    <x:row r="14" ht="56" customHeight="1">
      <x:c r="A14" s="11" t="str">
        <x:v>MAP-013</x:v>
      </x:c>
      <x:c r="B14" s="11" t="str">
        <x:v>CH-FR-001</x:v>
      </x:c>
      <x:c r="C14" s="11" t="str">
        <x:v>BNCC_COMPUTACAO</x:v>
      </x:c>
      <x:c r="D14" s="11" t="str">
        <x:v>EM13CO11</x:v>
      </x:c>
      <x:c r="E14" s="11" t="str">
        <x:v>Equivalente</x:v>
      </x:c>
      <x:c r="F14" s="17" t="n">
        <x:v>0.75</x:v>
      </x:c>
      <x:c r="G14" s="11" t="str">
        <x:v>alta</x:v>
      </x:c>
      <x:c r="H14" s="11" t="str">
        <x:v>Modelagem computacional de fenômenos e solução de problemas.</x:v>
      </x:c>
      <x:c r="I14" s="11" t="str"/>
      <x:c r="J14" s="11" t="str"/>
      <x:c r="K14" s="11" t="str">
        <x:v>não</x:v>
      </x:c>
      <x:c r="L14" s="11" t="str">
        <x:v>preliminar</x:v>
      </x:c>
    </x:row>
    <x:row r="15" ht="56" customHeight="1">
      <x:c r="A15" s="11" t="str">
        <x:v>MAP-014</x:v>
      </x:c>
      <x:c r="B15" s="11" t="str">
        <x:v>CH-FR-001</x:v>
      </x:c>
      <x:c r="C15" s="11" t="str">
        <x:v>UNESCO_ECG</x:v>
      </x:c>
      <x:c r="D15" s="11" t="str">
        <x:v>ECG-T02-12_15</x:v>
      </x:c>
      <x:c r="E15" s="11" t="str">
        <x:v>Parcial</x:v>
      </x:c>
      <x:c r="F15" s="17" t="n">
        <x:v>0.5</x:v>
      </x:c>
      <x:c r="G15" s="11" t="str">
        <x:v>média</x:v>
      </x:c>
      <x:c r="H15" s="11" t="str">
        <x:v>Modelagem pode apoiar análise de questões conectadas; cidadania deve ser confirmada no contexto.</x:v>
      </x:c>
      <x:c r="I15" s="11" t="str"/>
      <x:c r="J15" s="11" t="str"/>
      <x:c r="K15" s="11" t="str">
        <x:v>não</x:v>
      </x:c>
      <x:c r="L15" s="11" t="str">
        <x:v>preliminar</x:v>
      </x:c>
    </x:row>
    <x:row r="16" ht="56" customHeight="1">
      <x:c r="A16" s="11" t="str">
        <x:v>MAP-015</x:v>
      </x:c>
      <x:c r="B16" s="11" t="str">
        <x:v>CH-IT-001</x:v>
      </x:c>
      <x:c r="C16" s="11" t="str">
        <x:v>BNCC_COMPUTACAO</x:v>
      </x:c>
      <x:c r="D16" s="11" t="str">
        <x:v>EF01CO03</x:v>
      </x:c>
      <x:c r="E16" s="11" t="str">
        <x:v>Equivalente</x:v>
      </x:c>
      <x:c r="F16" s="17" t="n">
        <x:v>0.75</x:v>
      </x:c>
      <x:c r="G16" s="11" t="str">
        <x:v>média</x:v>
      </x:c>
      <x:c r="H16" s="11" t="str">
        <x:v>Sequências de instruções como base de algoritmos.</x:v>
      </x:c>
      <x:c r="I16" s="11" t="str"/>
      <x:c r="J16" s="11" t="str"/>
      <x:c r="K16" s="11" t="str">
        <x:v>não</x:v>
      </x:c>
      <x:c r="L16" s="11" t="str">
        <x:v>preliminar</x:v>
      </x:c>
    </x:row>
    <x:row r="17">
      <x:c r="F17" s="18"/>
    </x:row>
    <x:row r="18">
      <x:c r="F18" s="18"/>
    </x:row>
    <x:row r="19">
      <x:c r="F19" s="18"/>
    </x:row>
    <x:row r="20">
      <x:c r="F20" s="18"/>
    </x:row>
    <x:row r="21">
      <x:c r="F21" s="18"/>
    </x:row>
    <x:row r="22">
      <x:c r="F22" s="18"/>
    </x:row>
    <x:row r="23">
      <x:c r="F23" s="18"/>
    </x:row>
    <x:row r="24">
      <x:c r="F24" s="18"/>
    </x:row>
    <x:row r="25">
      <x:c r="F25" s="18"/>
    </x:row>
    <x:row r="26">
      <x:c r="F26" s="18"/>
    </x:row>
    <x:row r="27">
      <x:c r="F27" s="18"/>
    </x:row>
    <x:row r="28">
      <x:c r="F28" s="18"/>
    </x:row>
    <x:row r="29">
      <x:c r="F29" s="18"/>
    </x:row>
    <x:row r="30">
      <x:c r="F30" s="18"/>
    </x:row>
    <x:row r="31">
      <x:c r="F31" s="18"/>
    </x:row>
    <x:row r="32">
      <x:c r="F32" s="18"/>
    </x:row>
    <x:row r="33">
      <x:c r="F33" s="18"/>
    </x:row>
    <x:row r="34">
      <x:c r="F34" s="18"/>
    </x:row>
    <x:row r="35">
      <x:c r="F35" s="18"/>
    </x:row>
    <x:row r="36">
      <x:c r="F36" s="18"/>
    </x:row>
    <x:row r="37">
      <x:c r="F37" s="18"/>
    </x:row>
    <x:row r="38">
      <x:c r="F38" s="18"/>
    </x:row>
    <x:row r="39">
      <x:c r="F39" s="18"/>
    </x:row>
    <x:row r="40">
      <x:c r="F40" s="18"/>
    </x:row>
    <x:row r="41">
      <x:c r="F41" s="18"/>
    </x:row>
    <x:row r="42">
      <x:c r="F42" s="18"/>
    </x:row>
    <x:row r="43">
      <x:c r="F43" s="18"/>
    </x:row>
    <x:row r="44">
      <x:c r="F44" s="18"/>
    </x:row>
    <x:row r="45">
      <x:c r="F45" s="18"/>
    </x:row>
    <x:row r="46">
      <x:c r="F46" s="18"/>
    </x:row>
    <x:row r="47">
      <x:c r="F47" s="18"/>
    </x:row>
    <x:row r="48">
      <x:c r="F48" s="18"/>
    </x:row>
    <x:row r="49">
      <x:c r="F49" s="18"/>
    </x:row>
    <x:row r="50">
      <x:c r="F50" s="18"/>
    </x:row>
    <x:row r="51">
      <x:c r="F51" s="18"/>
    </x:row>
    <x:row r="52">
      <x:c r="F52" s="18"/>
    </x:row>
    <x:row r="53">
      <x:c r="F53" s="18"/>
    </x:row>
    <x:row r="54">
      <x:c r="F54" s="18"/>
    </x:row>
    <x:row r="55">
      <x:c r="F55" s="18"/>
    </x:row>
    <x:row r="56">
      <x:c r="F56" s="18"/>
    </x:row>
    <x:row r="57">
      <x:c r="F57" s="18"/>
    </x:row>
    <x:row r="58">
      <x:c r="F58" s="18"/>
    </x:row>
    <x:row r="59">
      <x:c r="F59" s="18"/>
    </x:row>
    <x:row r="60">
      <x:c r="F60" s="18"/>
    </x:row>
    <x:row r="61">
      <x:c r="F61" s="18"/>
    </x:row>
    <x:row r="62">
      <x:c r="F62" s="18"/>
    </x:row>
    <x:row r="63">
      <x:c r="F63" s="18"/>
    </x:row>
    <x:row r="64">
      <x:c r="F64" s="18"/>
    </x:row>
    <x:row r="65">
      <x:c r="F65" s="18"/>
    </x:row>
    <x:row r="66">
      <x:c r="F66" s="18"/>
    </x:row>
    <x:row r="67">
      <x:c r="F67" s="18"/>
    </x:row>
    <x:row r="68">
      <x:c r="F68" s="18"/>
    </x:row>
    <x:row r="69">
      <x:c r="F69" s="18"/>
    </x:row>
    <x:row r="70">
      <x:c r="F70" s="18"/>
    </x:row>
    <x:row r="71">
      <x:c r="F71" s="18"/>
    </x:row>
    <x:row r="72">
      <x:c r="F72" s="18"/>
    </x:row>
    <x:row r="73">
      <x:c r="F73" s="18"/>
    </x:row>
    <x:row r="74">
      <x:c r="F74" s="18"/>
    </x:row>
    <x:row r="75">
      <x:c r="F75" s="18"/>
    </x:row>
    <x:row r="76">
      <x:c r="F76" s="18"/>
    </x:row>
    <x:row r="77">
      <x:c r="F77" s="18"/>
    </x:row>
    <x:row r="78">
      <x:c r="F78" s="18"/>
    </x:row>
    <x:row r="79">
      <x:c r="F79" s="18"/>
    </x:row>
    <x:row r="80">
      <x:c r="F80" s="18"/>
    </x:row>
    <x:row r="81">
      <x:c r="F81" s="18"/>
    </x:row>
    <x:row r="82">
      <x:c r="F82" s="18"/>
    </x:row>
    <x:row r="83">
      <x:c r="F83" s="18"/>
    </x:row>
    <x:row r="84">
      <x:c r="F84" s="18"/>
    </x:row>
    <x:row r="85">
      <x:c r="F85" s="18"/>
    </x:row>
    <x:row r="86">
      <x:c r="F86" s="18"/>
    </x:row>
    <x:row r="87">
      <x:c r="F87" s="18"/>
    </x:row>
    <x:row r="88">
      <x:c r="F88" s="18"/>
    </x:row>
    <x:row r="89">
      <x:c r="F89" s="18"/>
    </x:row>
    <x:row r="90">
      <x:c r="F90" s="18"/>
    </x:row>
    <x:row r="91">
      <x:c r="F91" s="18"/>
    </x:row>
    <x:row r="92">
      <x:c r="F92" s="18"/>
    </x:row>
    <x:row r="93">
      <x:c r="F93" s="18"/>
    </x:row>
    <x:row r="94">
      <x:c r="F94" s="18"/>
    </x:row>
    <x:row r="95">
      <x:c r="F95" s="18"/>
    </x:row>
    <x:row r="96">
      <x:c r="F96" s="18"/>
    </x:row>
    <x:row r="97">
      <x:c r="F97" s="18"/>
    </x:row>
    <x:row r="98">
      <x:c r="F98" s="18"/>
    </x:row>
    <x:row r="99">
      <x:c r="F99" s="18"/>
    </x:row>
    <x:row r="100">
      <x:c r="F100" s="18"/>
    </x:row>
  </x:sheetData>
  <x:dataValidations count="2">
    <x:dataValidation type="list" sqref="C2:C1000">
      <x:formula1>"UNESCO_ECG,BNCC_GERAL,BNCC_COMPUTACAO"</x:formula1>
    </x:dataValidation>
    <x:dataValidation type="list" sqref="E2:E1000">
      <x:formula1>"Exata,Equivalente,Parcial,Indireta,Ausente"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0" hidden="0" customWidth="1"/>
    <x:col min="4" max="4" width="22" hidden="0" customWidth="1"/>
    <x:col min="5" max="5" width="22" hidden="0" customWidth="1"/>
    <x:col min="6" max="6" width="14" hidden="0" customWidth="1"/>
    <x:col min="7" max="7" width="16" hidden="0" customWidth="1"/>
    <x:col min="8" max="8" width="18" hidden="0" customWidth="1"/>
  </x:cols>
  <x:sheetData>
    <x:row r="1" ht="30" customHeight="1">
      <x:c r="A1" s="9" t="str">
        <x:v>pais_jurisdicao</x:v>
      </x:c>
      <x:c r="B1" s="9" t="str">
        <x:v>habilidades_registradas</x:v>
      </x:c>
      <x:c r="C1" s="9" t="str">
        <x:v>com_mapa_unesco</x:v>
      </x:c>
      <x:c r="D1" s="9" t="str">
        <x:v>com_mapa_bncc_geral</x:v>
      </x:c>
      <x:c r="E1" s="9" t="str">
        <x:v>com_mapa_bncc_comp</x:v>
      </x:c>
      <x:c r="F1" s="9" t="str">
        <x:v>revisadas</x:v>
      </x:c>
      <x:c r="G1" s="9" t="str">
        <x:v>pct_revisadas</x:v>
      </x:c>
      <x:c r="H1" s="9" t="str">
        <x:v>confianca_media</x:v>
      </x:c>
    </x:row>
    <x:row r="2" ht="28" customHeight="1">
      <x:c r="A2" s="13" t="str">
        <x:v>Chile</x:v>
      </x:c>
      <x:c r="B2" s="13" t="n">
        <x:f>COUNTIF(HABILIDADES_PAIS!$C$2:$C$1000,A2)</x:f>
        <x:v>1</x:v>
      </x:c>
      <x:c r="C2" s="13" t="n">
        <x:f>COUNTIFS(HABILIDADES_PAIS!$C$2:$C$1000,A2,HABILIDADES_PAIS!$AB$2:$AB$1000,"&gt;0")</x:f>
        <x:v>1</x:v>
      </x:c>
      <x:c r="D2" s="13" t="n">
        <x:f>COUNTIFS(HABILIDADES_PAIS!$C$2:$C$1000,A2,HABILIDADES_PAIS!$AC$2:$AC$1000,"&gt;0")</x:f>
        <x:v>1</x:v>
      </x:c>
      <x:c r="E2" s="13" t="n">
        <x:f>COUNTIFS(HABILIDADES_PAIS!$C$2:$C$1000,A2,HABILIDADES_PAIS!$AD$2:$AD$1000,"&gt;0")</x:f>
        <x:v>1</x:v>
      </x:c>
      <x:c r="F2" s="13" t="n">
        <x:f>COUNTIFS(HABILIDADES_PAIS!$C$2:$C$1000,A2,HABILIDADES_PAIS!$X$2:$X$1000,"Revisada")</x:f>
        <x:v>0</x:v>
      </x:c>
      <x:c r="G2" s="14" t="n">
        <x:f>IFERROR(F2/B2,0)</x:f>
        <x:v>0</x:v>
      </x:c>
      <x:c r="H2" s="14" t="n">
        <x:f>IFERROR(AVERAGEIF(HABILIDADES_PAIS!$C$2:$C$1000,A2,HABILIDADES_PAIS!$Z$2:$Z$1000),0)</x:f>
        <x:v>0.7</x:v>
      </x:c>
    </x:row>
    <x:row r="3" ht="28" customHeight="1">
      <x:c r="A3" s="13" t="str">
        <x:v>Estônia</x:v>
      </x:c>
      <x:c r="B3" s="13" t="n">
        <x:f>COUNTIF(HABILIDADES_PAIS!$C$2:$C$1000,A3)</x:f>
        <x:v>2</x:v>
      </x:c>
      <x:c r="C3" s="13" t="n">
        <x:f>COUNTIFS(HABILIDADES_PAIS!$C$2:$C$1000,A3,HABILIDADES_PAIS!$AB$2:$AB$1000,"&gt;0")</x:f>
        <x:v>1</x:v>
      </x:c>
      <x:c r="D3" s="13" t="n">
        <x:f>COUNTIFS(HABILIDADES_PAIS!$C$2:$C$1000,A3,HABILIDADES_PAIS!$AC$2:$AC$1000,"&gt;0")</x:f>
        <x:v>1</x:v>
      </x:c>
      <x:c r="E3" s="13" t="n">
        <x:f>COUNTIFS(HABILIDADES_PAIS!$C$2:$C$1000,A3,HABILIDADES_PAIS!$AD$2:$AD$1000,"&gt;0")</x:f>
        <x:v>1</x:v>
      </x:c>
      <x:c r="F3" s="13" t="n">
        <x:f>COUNTIFS(HABILIDADES_PAIS!$C$2:$C$1000,A3,HABILIDADES_PAIS!$X$2:$X$1000,"Revisada")</x:f>
        <x:v>0</x:v>
      </x:c>
      <x:c r="G3" s="14" t="n">
        <x:f>IFERROR(F3/B3,0)</x:f>
        <x:v>0</x:v>
      </x:c>
      <x:c r="H3" s="14" t="n">
        <x:f>IFERROR(AVERAGEIF(HABILIDADES_PAIS!$C$2:$C$1000,A3,HABILIDADES_PAIS!$Z$2:$Z$1000),0)</x:f>
        <x:v>0.775</x:v>
      </x:c>
    </x:row>
    <x:row r="4" ht="28" customHeight="1">
      <x:c r="A4" s="13" t="str">
        <x:v>Marrocos</x:v>
      </x:c>
      <x:c r="B4" s="13" t="n">
        <x:f>COUNTIF(HABILIDADES_PAIS!$C$2:$C$1000,A4)</x:f>
        <x:v>2</x:v>
      </x:c>
      <x:c r="C4" s="13" t="n">
        <x:f>COUNTIFS(HABILIDADES_PAIS!$C$2:$C$1000,A4,HABILIDADES_PAIS!$AB$2:$AB$1000,"&gt;0")</x:f>
        <x:v>1</x:v>
      </x:c>
      <x:c r="D4" s="13" t="n">
        <x:f>COUNTIFS(HABILIDADES_PAIS!$C$2:$C$1000,A4,HABILIDADES_PAIS!$AC$2:$AC$1000,"&gt;0")</x:f>
        <x:v>1</x:v>
      </x:c>
      <x:c r="E4" s="13" t="n">
        <x:f>COUNTIFS(HABILIDADES_PAIS!$C$2:$C$1000,A4,HABILIDADES_PAIS!$AD$2:$AD$1000,"&gt;0")</x:f>
        <x:v>1</x:v>
      </x:c>
      <x:c r="F4" s="13" t="n">
        <x:f>COUNTIFS(HABILIDADES_PAIS!$C$2:$C$1000,A4,HABILIDADES_PAIS!$X$2:$X$1000,"Revisada")</x:f>
        <x:v>0</x:v>
      </x:c>
      <x:c r="G4" s="14" t="n">
        <x:f>IFERROR(F4/B4,0)</x:f>
        <x:v>0</x:v>
      </x:c>
      <x:c r="H4" s="14" t="n">
        <x:f>IFERROR(AVERAGEIF(HABILIDADES_PAIS!$C$2:$C$1000,A4,HABILIDADES_PAIS!$Z$2:$Z$1000),0)</x:f>
        <x:v>0.575</x:v>
      </x:c>
    </x:row>
    <x:row r="5" ht="28" customHeight="1">
      <x:c r="A5" s="13" t="str">
        <x:v>Suíça — região alemã</x:v>
      </x:c>
      <x:c r="B5" s="13" t="n">
        <x:f>COUNTIF(HABILIDADES_PAIS!$C$2:$C$1000,A5)</x:f>
        <x:v>2</x:v>
      </x:c>
      <x:c r="C5" s="13" t="n">
        <x:f>COUNTIFS(HABILIDADES_PAIS!$C$2:$C$1000,A5,HABILIDADES_PAIS!$AB$2:$AB$1000,"&gt;0")</x:f>
        <x:v>0</x:v>
      </x:c>
      <x:c r="D5" s="13" t="n">
        <x:f>COUNTIFS(HABILIDADES_PAIS!$C$2:$C$1000,A5,HABILIDADES_PAIS!$AC$2:$AC$1000,"&gt;0")</x:f>
        <x:v>1</x:v>
      </x:c>
      <x:c r="E5" s="13" t="n">
        <x:f>COUNTIFS(HABILIDADES_PAIS!$C$2:$C$1000,A5,HABILIDADES_PAIS!$AD$2:$AD$1000,"&gt;0")</x:f>
        <x:v>2</x:v>
      </x:c>
      <x:c r="F5" s="13" t="n">
        <x:f>COUNTIFS(HABILIDADES_PAIS!$C$2:$C$1000,A5,HABILIDADES_PAIS!$X$2:$X$1000,"Revisada")</x:f>
        <x:v>0</x:v>
      </x:c>
      <x:c r="G5" s="14" t="n">
        <x:f>IFERROR(F5/B5,0)</x:f>
        <x:v>0</x:v>
      </x:c>
      <x:c r="H5" s="14" t="n">
        <x:f>IFERROR(AVERAGEIF(HABILIDADES_PAIS!$C$2:$C$1000,A5,HABILIDADES_PAIS!$Z$2:$Z$1000),0)</x:f>
        <x:v>0.85</x:v>
      </x:c>
    </x:row>
    <x:row r="6" ht="28" customHeight="1">
      <x:c r="A6" s="13" t="str">
        <x:v>Suíça — região francófona</x:v>
      </x:c>
      <x:c r="B6" s="13" t="n">
        <x:f>COUNTIF(HABILIDADES_PAIS!$C$2:$C$1000,A6)</x:f>
        <x:v>1</x:v>
      </x:c>
      <x:c r="C6" s="13" t="n">
        <x:f>COUNTIFS(HABILIDADES_PAIS!$C$2:$C$1000,A6,HABILIDADES_PAIS!$AB$2:$AB$1000,"&gt;0")</x:f>
        <x:v>1</x:v>
      </x:c>
      <x:c r="D6" s="13" t="n">
        <x:f>COUNTIFS(HABILIDADES_PAIS!$C$2:$C$1000,A6,HABILIDADES_PAIS!$AC$2:$AC$1000,"&gt;0")</x:f>
        <x:v>0</x:v>
      </x:c>
      <x:c r="E6" s="13" t="n">
        <x:f>COUNTIFS(HABILIDADES_PAIS!$C$2:$C$1000,A6,HABILIDADES_PAIS!$AD$2:$AD$1000,"&gt;0")</x:f>
        <x:v>1</x:v>
      </x:c>
      <x:c r="F6" s="13" t="n">
        <x:f>COUNTIFS(HABILIDADES_PAIS!$C$2:$C$1000,A6,HABILIDADES_PAIS!$X$2:$X$1000,"Revisada")</x:f>
        <x:v>0</x:v>
      </x:c>
      <x:c r="G6" s="14" t="n">
        <x:f>IFERROR(F6/B6,0)</x:f>
        <x:v>0</x:v>
      </x:c>
      <x:c r="H6" s="14" t="n">
        <x:f>IFERROR(AVERAGEIF(HABILIDADES_PAIS!$C$2:$C$1000,A6,HABILIDADES_PAIS!$Z$2:$Z$1000),0)</x:f>
        <x:v>0.75</x:v>
      </x:c>
    </x:row>
    <x:row r="7" ht="28" customHeight="1">
      <x:c r="A7" s="13" t="str">
        <x:v>Suíça — Ticino</x:v>
      </x:c>
      <x:c r="B7" s="13" t="n">
        <x:f>COUNTIF(HABILIDADES_PAIS!$C$2:$C$1000,A7)</x:f>
        <x:v>1</x:v>
      </x:c>
      <x:c r="C7" s="13" t="n">
        <x:f>COUNTIFS(HABILIDADES_PAIS!$C$2:$C$1000,A7,HABILIDADES_PAIS!$AB$2:$AB$1000,"&gt;0")</x:f>
        <x:v>0</x:v>
      </x:c>
      <x:c r="D7" s="13" t="n">
        <x:f>COUNTIFS(HABILIDADES_PAIS!$C$2:$C$1000,A7,HABILIDADES_PAIS!$AC$2:$AC$1000,"&gt;0")</x:f>
        <x:v>0</x:v>
      </x:c>
      <x:c r="E7" s="13" t="n">
        <x:f>COUNTIFS(HABILIDADES_PAIS!$C$2:$C$1000,A7,HABILIDADES_PAIS!$AD$2:$AD$1000,"&gt;0")</x:f>
        <x:v>1</x:v>
      </x:c>
      <x:c r="F7" s="13" t="n">
        <x:f>COUNTIFS(HABILIDADES_PAIS!$C$2:$C$1000,A7,HABILIDADES_PAIS!$X$2:$X$1000,"Revisada")</x:f>
        <x:v>0</x:v>
      </x:c>
      <x:c r="G7" s="14" t="n">
        <x:f>IFERROR(F7/B7,0)</x:f>
        <x:v>0</x:v>
      </x:c>
      <x:c r="H7" s="14" t="n">
        <x:f>IFERROR(AVERAGEIF(HABILIDADES_PAIS!$C$2:$C$1000,A7,HABILIDADES_PAIS!$Z$2:$Z$1000),0)</x:f>
        <x:v>0.7</x:v>
      </x:c>
    </x:row>
  </x:sheetData>
  <x:conditionalFormatting sqref="G2:H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{F6DFD23B-D443-79EF-9AC1-C1F0E1FAFDD3}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DFD23B-D443-79EF-9AC1-C1F0E1FAFDD3}">
            <x14:dataBar gradient="1">
              <x14:cfvo type="min"/>
              <x14:cfvo type="max"/>
              <x14:fillColor rgb="FF5B9BD5"/>
            </x14:dataBar>
          </x14:cfRule>
          <xm:sqref>G2:H7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72" hidden="0" customWidth="1"/>
    <x:col min="4" max="4" width="20" hidden="0" customWidth="1"/>
    <x:col min="5" max="5" width="14" hidden="0" customWidth="1"/>
    <x:col min="6" max="6" width="52" hidden="0" customWidth="1"/>
  </x:cols>
  <x:sheetData>
    <x:row r="1" ht="30" customHeight="1">
      <x:c r="A1" s="9" t="str">
        <x:v>aba</x:v>
      </x:c>
      <x:c r="B1" s="9" t="str">
        <x:v>campo</x:v>
      </x:c>
      <x:c r="C1" s="9" t="str">
        <x:v>definicao</x:v>
      </x:c>
      <x:c r="D1" s="9" t="str">
        <x:v>tipo</x:v>
      </x:c>
      <x:c r="E1" s="9" t="str">
        <x:v>obrigatorio</x:v>
      </x:c>
      <x:c r="F1" s="9" t="str">
        <x:v>valores_exemplo</x:v>
      </x:c>
    </x:row>
    <x:row r="2" ht="46" customHeight="1">
      <x:c r="A2" s="11" t="str">
        <x:v>DOCUMENTOS</x:v>
      </x:c>
      <x:c r="B2" s="11" t="str">
        <x:v>status_carga</x:v>
      </x:c>
      <x:c r="C2" s="11" t="str">
        <x:v>Estado da obtenção/verificação do documento.</x:v>
      </x:c>
      <x:c r="D2" s="11" t="str">
        <x:v>texto controlado</x:v>
      </x:c>
      <x:c r="E2" s="11" t="str">
        <x:v>sim</x:v>
      </x:c>
      <x:c r="F2" s="11" t="str">
        <x:v>a baixar; localizado; verificado; corpus validado</x:v>
      </x:c>
    </x:row>
    <x:row r="3" ht="46" customHeight="1">
      <x:c r="A3" s="11" t="str">
        <x:v>HABILIDADES_PAIS</x:v>
      </x:c>
      <x:c r="B3" s="11" t="str">
        <x:v>skill_id</x:v>
      </x:c>
      <x:c r="C3" s="11" t="str">
        <x:v>Identificador único da habilidade atômica.</x:v>
      </x:c>
      <x:c r="D3" s="11" t="str">
        <x:v>texto</x:v>
      </x:c>
      <x:c r="E3" s="11" t="str">
        <x:v>sim</x:v>
      </x:c>
      <x:c r="F3" s="11" t="str">
        <x:v>CL-001</x:v>
      </x:c>
    </x:row>
    <x:row r="4" ht="46" customHeight="1">
      <x:c r="A4" s="11" t="str">
        <x:v>HABILIDADES_PAIS</x:v>
      </x:c>
      <x:c r="B4" s="11" t="str">
        <x:v>texto_original</x:v>
      </x:c>
      <x:c r="C4" s="11" t="str">
        <x:v>Redação na língua do documento; não substituir pela tradução.</x:v>
      </x:c>
      <x:c r="D4" s="11" t="str">
        <x:v>texto longo</x:v>
      </x:c>
      <x:c r="E4" s="11" t="str">
        <x:v>sim</x:v>
      </x:c>
      <x:c r="F4" s="11" t="str">
        <x:v>trecho curricular</x:v>
      </x:c>
    </x:row>
    <x:row r="5" ht="46" customHeight="1">
      <x:c r="A5" s="11" t="str">
        <x:v>HABILIDADES_PAIS</x:v>
      </x:c>
      <x:c r="B5" s="11" t="str">
        <x:v>traducao_pt</x:v>
      </x:c>
      <x:c r="C5" s="11" t="str">
        <x:v>Tradução de trabalho para comparação.</x:v>
      </x:c>
      <x:c r="D5" s="11" t="str">
        <x:v>texto longo</x:v>
      </x:c>
      <x:c r="E5" s="11" t="str">
        <x:v>não</x:v>
      </x:c>
      <x:c r="F5" s="11" t="str">
        <x:v>tradução revisável</x:v>
      </x:c>
    </x:row>
    <x:row r="6" ht="46" customHeight="1">
      <x:c r="A6" s="11" t="str">
        <x:v>HABILIDADES_PAIS</x:v>
      </x:c>
      <x:c r="B6" s="11" t="str">
        <x:v>sintese_pesquisadora</x:v>
      </x:c>
      <x:c r="C6" s="11" t="str">
        <x:v>Paráfrase curta e comparável, mantendo verbo, objeto e contexto.</x:v>
      </x:c>
      <x:c r="D6" s="11" t="str">
        <x:v>texto longo</x:v>
      </x:c>
      <x:c r="E6" s="11" t="str">
        <x:v>sim</x:v>
      </x:c>
      <x:c r="F6" s="11" t="str">
        <x:v>analisar dados</x:v>
      </x:c>
    </x:row>
    <x:row r="7" ht="46" customHeight="1">
      <x:c r="A7" s="11" t="str">
        <x:v>HABILIDADES_PAIS</x:v>
      </x:c>
      <x:c r="B7" s="11" t="str">
        <x:v>pagina</x:v>
      </x:c>
      <x:c r="C7" s="11" t="str">
        <x:v>Página impressa ou posição verificável.</x:v>
      </x:c>
      <x:c r="D7" s="11" t="str">
        <x:v>texto/número</x:v>
      </x:c>
      <x:c r="E7" s="11" t="str">
        <x:v>sim</x:v>
      </x:c>
      <x:c r="F7" s="11" t="str">
        <x:v>23</x:v>
      </x:c>
    </x:row>
    <x:row r="8" ht="46" customHeight="1">
      <x:c r="A8" s="11" t="str">
        <x:v>HABILIDADES_PAIS</x:v>
      </x:c>
      <x:c r="B8" s="11" t="str">
        <x:v>confianca</x:v>
      </x:c>
      <x:c r="C8" s="11" t="str">
        <x:v>Confiança da extração/codificação, de 0 a 1.</x:v>
      </x:c>
      <x:c r="D8" s="11" t="str">
        <x:v>decimal</x:v>
      </x:c>
      <x:c r="E8" s="11" t="str">
        <x:v>sim</x:v>
      </x:c>
      <x:c r="F8" s="11" t="str">
        <x:v>0,85</x:v>
      </x:c>
    </x:row>
    <x:row r="9" ht="46" customHeight="1">
      <x:c r="A9" s="11" t="str">
        <x:v>HABILIDADES_PAIS</x:v>
      </x:c>
      <x:c r="B9" s="11" t="str">
        <x:v>n_map_*</x:v>
      </x:c>
      <x:c r="C9" s="11" t="str">
        <x:v>Contagens derivadas da tabela de mapeamentos.</x:v>
      </x:c>
      <x:c r="D9" s="11" t="str">
        <x:v>fórmula</x:v>
      </x:c>
      <x:c r="E9" s="11" t="str">
        <x:v>automático</x:v>
      </x:c>
      <x:c r="F9" s="11" t="str">
        <x:v>2</x:v>
      </x:c>
    </x:row>
    <x:row r="10" ht="46" customHeight="1">
      <x:c r="A10" s="11" t="str">
        <x:v>MAPEAMENTOS</x:v>
      </x:c>
      <x:c r="B10" s="11" t="str">
        <x:v>framework</x:v>
      </x:c>
      <x:c r="C10" s="11" t="str">
        <x:v>Referencial de destino.</x:v>
      </x:c>
      <x:c r="D10" s="11" t="str">
        <x:v>lista</x:v>
      </x:c>
      <x:c r="E10" s="11" t="str">
        <x:v>sim</x:v>
      </x:c>
      <x:c r="F10" s="11" t="str">
        <x:v>UNESCO_ECG; BNCC_GERAL; BNCC_COMPUTACAO</x:v>
      </x:c>
    </x:row>
    <x:row r="11" ht="46" customHeight="1">
      <x:c r="A11" s="11" t="str">
        <x:v>MAPEAMENTOS</x:v>
      </x:c>
      <x:c r="B11" s="11" t="str">
        <x:v>framework_code</x:v>
      </x:c>
      <x:c r="C11" s="11" t="str">
        <x:v>Código existente na aba do referencial.</x:v>
      </x:c>
      <x:c r="D11" s="11" t="str">
        <x:v>texto</x:v>
      </x:c>
      <x:c r="E11" s="11" t="str">
        <x:v>sim</x:v>
      </x:c>
      <x:c r="F11" s="11" t="str">
        <x:v>CG05</x:v>
      </x:c>
    </x:row>
    <x:row r="12" ht="46" customHeight="1">
      <x:c r="A12" s="11" t="str">
        <x:v>MAPEAMENTOS</x:v>
      </x:c>
      <x:c r="B12" s="11" t="str">
        <x:v>tipo_alinhamento</x:v>
      </x:c>
      <x:c r="C12" s="11" t="str">
        <x:v>Julgamento qualitativo da relação.</x:v>
      </x:c>
      <x:c r="D12" s="11" t="str">
        <x:v>lista</x:v>
      </x:c>
      <x:c r="E12" s="11" t="str">
        <x:v>sim</x:v>
      </x:c>
      <x:c r="F12" s="11" t="str">
        <x:v>Exata; Equivalente; Parcial; Indireta; Ausente</x:v>
      </x:c>
    </x:row>
    <x:row r="13" ht="46" customHeight="1">
      <x:c r="A13" s="11" t="str">
        <x:v>MAPEAMENTOS</x:v>
      </x:c>
      <x:c r="B13" s="11" t="str">
        <x:v>score</x:v>
      </x:c>
      <x:c r="C13" s="11" t="str">
        <x:v>Conversão ordinal para síntese; não é medida intervalar.</x:v>
      </x:c>
      <x:c r="D13" s="11" t="str">
        <x:v>decimal</x:v>
      </x:c>
      <x:c r="E13" s="11" t="str">
        <x:v>sim</x:v>
      </x:c>
      <x:c r="F13" s="11" t="str">
        <x:v>0; 0,25; 0,50; 0,75; 1</x:v>
      </x:c>
    </x:row>
    <x:row r="14" ht="46" customHeight="1">
      <x:c r="A14" s="11" t="str">
        <x:v>MAPEAMENTOS</x:v>
      </x:c>
      <x:c r="B14" s="11" t="str">
        <x:v>justificativa</x:v>
      </x:c>
      <x:c r="C14" s="11" t="str">
        <x:v>Argumento baseado nos verbos, objetos, contexto e evidência.</x:v>
      </x:c>
      <x:c r="D14" s="11" t="str">
        <x:v>texto longo</x:v>
      </x:c>
      <x:c r="E14" s="11" t="str">
        <x:v>sim</x:v>
      </x:c>
      <x:c r="F14" s="11" t="str">
        <x:v>Convergência em...</x:v>
      </x:c>
    </x:row>
    <x:row r="15" ht="46" customHeight="1">
      <x:c r="A15" s="11" t="str">
        <x:v>UNESCO_ECG</x:v>
      </x:c>
      <x:c r="B15" s="11" t="str">
        <x:v>objetivo_condensado_pt</x:v>
      </x:c>
      <x:c r="C15" s="11" t="str">
        <x:v>Resumo analítico, não tradução oficial integral.</x:v>
      </x:c>
      <x:c r="D15" s="11" t="str">
        <x:v>texto longo</x:v>
      </x:c>
      <x:c r="E15" s="11" t="str">
        <x:v>sim</x:v>
      </x:c>
      <x:c r="F15" s="11" t="str">
        <x:v>Avaliar criticamente...</x:v>
      </x:c>
    </x:row>
    <x:row r="16" ht="46" customHeight="1">
      <x:c r="A16" s="11" t="str">
        <x:v>BNCC_COMPUTACAO</x:v>
      </x:c>
      <x:c r="B16" s="11" t="str">
        <x:v>status_carga</x:v>
      </x:c>
      <x:c r="C16" s="11" t="str">
        <x:v>Indica se o código foi resumido e se a etapa está integralmente carregada.</x:v>
      </x:c>
      <x:c r="D16" s="11" t="str">
        <x:v>texto</x:v>
      </x:c>
      <x:c r="E16" s="11" t="str">
        <x:v>sim</x:v>
      </x:c>
      <x:c r="F16" s="11" t="str">
        <x:v>carregada — resumo do código oficial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2" hidden="0" customWidth="1"/>
    <x:col min="4" max="4" width="20" hidden="0" customWidth="1"/>
    <x:col min="5" max="5" width="20" hidden="0" customWidth="1"/>
    <x:col min="6" max="6" width="18" hidden="0" customWidth="1"/>
    <x:col min="7" max="7" width="23" hidden="0" customWidth="1"/>
  </x:cols>
  <x:sheetData>
    <x:row r="1" ht="30" customHeight="1">
      <x:c r="A1" s="9" t="str">
        <x:v>paises</x:v>
      </x:c>
      <x:c r="B1" s="9" t="str">
        <x:v>eixos_computacao</x:v>
      </x:c>
      <x:c r="C1" s="9" t="str">
        <x:v>dominios_unesco</x:v>
      </x:c>
      <x:c r="D1" s="9" t="str">
        <x:v>tipo_alinhamento</x:v>
      </x:c>
      <x:c r="E1" s="9" t="str">
        <x:v>status_revisao</x:v>
      </x:c>
      <x:c r="F1" s="9" t="str">
        <x:v>forca_evidencia</x:v>
      </x:c>
      <x:c r="G1" s="9" t="str">
        <x:v>frameworks</x:v>
      </x:c>
    </x:row>
    <x:row r="2" ht="24" customHeight="1">
      <x:c r="A2" t="str">
        <x:v>Chile</x:v>
      </x:c>
      <x:c r="B2" t="str">
        <x:v>Pensamento Computacional</x:v>
      </x:c>
      <x:c r="C2" t="str">
        <x:v>Cognitivo</x:v>
      </x:c>
      <x:c r="D2" t="str">
        <x:v>Exata</x:v>
      </x:c>
      <x:c r="E2" t="str">
        <x:v>não iniciada</x:v>
      </x:c>
      <x:c r="F2" t="str">
        <x:v>alta</x:v>
      </x:c>
      <x:c r="G2" t="str">
        <x:v>UNESCO_ECG</x:v>
      </x:c>
    </x:row>
    <x:row r="3" ht="24" customHeight="1">
      <x:c r="A3" t="str">
        <x:v>Estônia</x:v>
      </x:c>
      <x:c r="B3" t="str">
        <x:v>Mundo Digital</x:v>
      </x:c>
      <x:c r="C3" t="str">
        <x:v>Socioemocional</x:v>
      </x:c>
      <x:c r="D3" t="str">
        <x:v>Equivalente</x:v>
      </x:c>
      <x:c r="E3" t="str">
        <x:v>revisão pendente</x:v>
      </x:c>
      <x:c r="F3" t="str">
        <x:v>média</x:v>
      </x:c>
      <x:c r="G3" t="str">
        <x:v>BNCC_GERAL</x:v>
      </x:c>
    </x:row>
    <x:row r="4" ht="24" customHeight="1">
      <x:c r="A4" t="str">
        <x:v>Marrocos</x:v>
      </x:c>
      <x:c r="B4" t="str">
        <x:v>Cultura Digital</x:v>
      </x:c>
      <x:c r="C4" t="str">
        <x:v>Comportamental</x:v>
      </x:c>
      <x:c r="D4" t="str">
        <x:v>Parcial</x:v>
      </x:c>
      <x:c r="E4" t="str">
        <x:v>Revisada</x:v>
      </x:c>
      <x:c r="F4" t="str">
        <x:v>baixa</x:v>
      </x:c>
      <x:c r="G4" t="str">
        <x:v>BNCC_COMPUTACAO</x:v>
      </x:c>
    </x:row>
    <x:row r="5" ht="24" customHeight="1">
      <x:c r="A5" t="str">
        <x:v>Suíça — região alemã</x:v>
      </x:c>
      <x:c r="B5" t="str"/>
      <x:c r="C5" t="str"/>
      <x:c r="D5" t="str">
        <x:v>Indireta</x:v>
      </x:c>
      <x:c r="E5" t="str">
        <x:v>com divergência</x:v>
      </x:c>
      <x:c r="F5" t="str"/>
      <x:c r="G5" t="str"/>
    </x:row>
    <x:row r="6" ht="24" customHeight="1">
      <x:c r="A6" t="str">
        <x:v>Suíça — região francófona</x:v>
      </x:c>
      <x:c r="B6" t="str"/>
      <x:c r="C6" t="str"/>
      <x:c r="D6" t="str">
        <x:v>Ausente</x:v>
      </x:c>
      <x:c r="E6" t="str"/>
      <x:c r="F6" t="str"/>
      <x:c r="G6" t="str"/>
    </x:row>
    <x:row r="7" ht="24" customHeight="1">
      <x:c r="A7" t="str">
        <x:v>Suíça — Ticino</x:v>
      </x:c>
      <x:c r="B7" t="str"/>
      <x:c r="C7" t="str"/>
      <x:c r="D7" t="str"/>
      <x:c r="E7" t="str"/>
      <x:c r="F7" t="str"/>
      <x:c r="G7" t="str"/>
    </x:row>
  </x:sheetData>
  <x:pageMargins left="0.7" right="0.7" top="0.75" bottom="0.75" header="0.3" footer="0.3"/>
</x:worksheet>
</file>